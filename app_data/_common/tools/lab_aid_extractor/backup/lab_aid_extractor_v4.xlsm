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C026B480-071E-DA80-A48C-D3F380F32C35}"/>
  <workbookPr filterPrivacy="1" codeName="ThisWorkbook" hidePivotFieldList="1"/>
  <xr:revisionPtr revIDLastSave="138" documentId="13_ncr:1_{B8FE4037-2AD8-470D-BFD2-7EFE514C22D4}" xr6:coauthVersionLast="47" xr6:coauthVersionMax="47" xr10:uidLastSave="{0B087369-7056-4803-A673-7199A65AE6DF}"/>
  <bookViews>
    <workbookView xWindow="-120" yWindow="-120" windowWidth="29040" windowHeight="15720" xr2:uid="{00000000-000D-0000-FFFF-FFFF00000000}"/>
  </bookViews>
  <sheets>
    <sheet name="検索シート" sheetId="7" r:id="rId1"/>
    <sheet name="データ" sheetId="6" r:id="rId2"/>
    <sheet name="sql1" sheetId="1" state="veryHidden" r:id="rId3"/>
    <sheet name="フィールド一覧" sheetId="19" state="veryHidden" r:id="rId4"/>
    <sheet name="memo" sheetId="10" state="veryHidden" r:id="rId5"/>
  </sheets>
  <functionGroups builtInGroupCount="19"/>
  <definedNames>
    <definedName name="_xlnm._FilterDatabase" localSheetId="3" hidden="1">フィールド一覧!$B$2:$G$226</definedName>
    <definedName name="JOB番号" localSheetId="2">'sql1'!$C$255</definedName>
    <definedName name="JOB番号" localSheetId="0">検索シート!$D$6</definedName>
    <definedName name="SQL_V4" localSheetId="2">'sql1'!$G$2:$G$293</definedName>
    <definedName name="サンプルCD" localSheetId="2">'sql1'!$C$258</definedName>
    <definedName name="サンプルCD" localSheetId="0">検索シート!$H$6:$H$51</definedName>
    <definedName name="サンプルグループCD" localSheetId="2">'sql1'!$C$254</definedName>
    <definedName name="サンプルグループCD" localSheetId="0">検索シート!$D$5</definedName>
    <definedName name="サンプル採取日FROM" localSheetId="2">'sql1'!$C$256</definedName>
    <definedName name="サンプル採取日FROM" localSheetId="0">検索シート!$D$9</definedName>
    <definedName name="サンプル採取日TO" localSheetId="2">'sql1'!$C$257</definedName>
    <definedName name="サンプル採取日TO" localSheetId="0">検索シート!$D$10</definedName>
    <definedName name="プリセット対象エリア" localSheetId="0">検索シート!$H$5:$L$51</definedName>
    <definedName name="ホルダCD" localSheetId="2">'sql1'!$C$267</definedName>
    <definedName name="ホルダCD" localSheetId="0">検索シート!$J$6:$J$51</definedName>
    <definedName name="検索条件" localSheetId="2">'sql1'!$C$2:$C$293</definedName>
    <definedName name="項目欄" localSheetId="1">データ!$B$1:$HQ$3</definedName>
    <definedName name="試験項目CD" localSheetId="2">'sql1'!$C$276</definedName>
    <definedName name="試験項目CD" localSheetId="0">検索シート!$L$6:$L$51</definedName>
    <definedName name="貼り付け先セル" localSheetId="1">データ!$B$4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7" l="1"/>
  <c r="G267" i="1"/>
  <c r="G276" i="1" l="1"/>
  <c r="G258" i="1"/>
  <c r="G257" i="1"/>
  <c r="G254" i="1"/>
  <c r="G255" i="1"/>
  <c r="G256" i="1"/>
  <c r="E246" i="1"/>
  <c r="H3" i="19"/>
  <c r="H4" i="19"/>
  <c r="H5" i="19"/>
  <c r="H6" i="19"/>
  <c r="H7" i="19"/>
  <c r="H8" i="19"/>
  <c r="H9" i="19"/>
  <c r="H10" i="19"/>
  <c r="H11" i="19"/>
  <c r="H12" i="19"/>
  <c r="H13" i="19"/>
  <c r="H14" i="19"/>
  <c r="H15" i="19"/>
  <c r="H16" i="19"/>
  <c r="H17" i="19"/>
  <c r="H18" i="19"/>
  <c r="H19" i="19"/>
  <c r="H20" i="19"/>
  <c r="H21" i="19"/>
  <c r="H22" i="19"/>
  <c r="H23" i="19"/>
  <c r="H24" i="19"/>
  <c r="H25" i="19"/>
  <c r="H26" i="19"/>
  <c r="H27" i="19"/>
  <c r="H28" i="19"/>
  <c r="H29" i="19"/>
  <c r="H30" i="19"/>
  <c r="H31" i="19"/>
  <c r="H32" i="19"/>
  <c r="H33" i="19"/>
  <c r="H34" i="19"/>
  <c r="H35" i="19"/>
  <c r="H36" i="19"/>
  <c r="H37" i="19"/>
  <c r="H38" i="19"/>
  <c r="H39" i="19"/>
  <c r="H40" i="19"/>
  <c r="H41" i="19"/>
  <c r="H42" i="19"/>
  <c r="H43" i="19"/>
  <c r="H44" i="19"/>
  <c r="H45" i="19"/>
  <c r="H46" i="19"/>
  <c r="H47" i="19"/>
  <c r="H48" i="19"/>
  <c r="H49" i="19"/>
  <c r="H50" i="19"/>
  <c r="H51" i="19"/>
  <c r="H52" i="19"/>
  <c r="H53" i="19"/>
  <c r="H54" i="19"/>
  <c r="H55" i="19"/>
  <c r="H56" i="19"/>
  <c r="H57" i="19"/>
  <c r="H58" i="19"/>
  <c r="H59" i="19"/>
  <c r="H60" i="19"/>
  <c r="H61" i="19"/>
  <c r="H62" i="19"/>
  <c r="H63" i="19"/>
  <c r="H64" i="19"/>
  <c r="H65" i="19"/>
  <c r="H66" i="19"/>
  <c r="H67" i="19"/>
  <c r="H68" i="19"/>
  <c r="H69" i="19"/>
  <c r="H70" i="19"/>
  <c r="H71" i="19"/>
  <c r="H72" i="19"/>
  <c r="H73" i="19"/>
  <c r="H74" i="19"/>
  <c r="H75" i="19"/>
  <c r="H76" i="19"/>
  <c r="H77" i="19"/>
  <c r="H78" i="19"/>
  <c r="H79" i="19"/>
  <c r="H80" i="19"/>
  <c r="H81" i="19"/>
  <c r="H82" i="19"/>
  <c r="H83" i="19"/>
  <c r="H84" i="19"/>
  <c r="H85" i="19"/>
  <c r="H86" i="19"/>
  <c r="H87" i="19"/>
  <c r="H88" i="19"/>
  <c r="H89" i="19"/>
  <c r="H90" i="19"/>
  <c r="H91" i="19"/>
  <c r="H92" i="19"/>
  <c r="H93" i="19"/>
  <c r="H94" i="19"/>
  <c r="H95" i="19"/>
  <c r="H96" i="19"/>
  <c r="H97" i="19"/>
  <c r="H98" i="19"/>
  <c r="H99" i="19"/>
  <c r="H100" i="19"/>
  <c r="H101" i="19"/>
  <c r="H102" i="19"/>
  <c r="H103" i="19"/>
  <c r="H104" i="19"/>
  <c r="H105" i="19"/>
  <c r="H106" i="19"/>
  <c r="H107" i="19"/>
  <c r="H108" i="19"/>
  <c r="H109" i="19"/>
  <c r="H110" i="19"/>
  <c r="H111" i="19"/>
  <c r="H112" i="19"/>
  <c r="H113" i="19"/>
  <c r="H114" i="19"/>
  <c r="H115" i="19"/>
  <c r="H116" i="19"/>
  <c r="H117" i="19"/>
  <c r="H118" i="19"/>
  <c r="H119" i="19"/>
  <c r="H120" i="19"/>
  <c r="H121" i="19"/>
  <c r="H122" i="19"/>
  <c r="H123" i="19"/>
  <c r="H124" i="19"/>
  <c r="H125" i="19"/>
  <c r="H126" i="19"/>
  <c r="H127" i="19"/>
  <c r="H128" i="19"/>
  <c r="H129" i="19"/>
  <c r="H130" i="19"/>
  <c r="H131" i="19"/>
  <c r="H132" i="19"/>
  <c r="H133" i="19"/>
  <c r="H134" i="19"/>
  <c r="H135" i="19"/>
  <c r="H136" i="19"/>
  <c r="H137" i="19"/>
  <c r="H138" i="19"/>
  <c r="H139" i="19"/>
  <c r="H140" i="19"/>
  <c r="H141" i="19"/>
  <c r="H142" i="19"/>
  <c r="H143" i="19"/>
  <c r="H144" i="19"/>
  <c r="H145" i="19"/>
  <c r="H146" i="19"/>
  <c r="H147" i="19"/>
  <c r="H148" i="19"/>
  <c r="H149" i="19"/>
  <c r="H150" i="19"/>
  <c r="H151" i="19"/>
  <c r="H152" i="19"/>
  <c r="H153" i="19"/>
  <c r="H154" i="19"/>
  <c r="H155" i="19"/>
  <c r="H156" i="19"/>
  <c r="H157" i="19"/>
  <c r="H158" i="19"/>
  <c r="H159" i="19"/>
  <c r="H160" i="19"/>
  <c r="H161" i="19"/>
  <c r="H162" i="19"/>
  <c r="H163" i="19"/>
  <c r="H164" i="19"/>
  <c r="H165" i="19"/>
  <c r="H166" i="19"/>
  <c r="H167" i="19"/>
  <c r="H168" i="19"/>
  <c r="H169" i="19"/>
  <c r="H170" i="19"/>
  <c r="H171" i="19"/>
  <c r="H172" i="19"/>
  <c r="H173" i="19"/>
  <c r="H174" i="19"/>
  <c r="H175" i="19"/>
  <c r="H176" i="19"/>
  <c r="H177" i="19"/>
  <c r="H178" i="19"/>
  <c r="H179" i="19"/>
  <c r="H180" i="19"/>
  <c r="H181" i="19"/>
  <c r="H182" i="19"/>
  <c r="H183" i="19"/>
  <c r="H184" i="19"/>
  <c r="H185" i="19"/>
  <c r="H186" i="19"/>
  <c r="H187" i="19"/>
  <c r="H188" i="19"/>
  <c r="H189" i="19"/>
  <c r="H190" i="19"/>
  <c r="H191" i="19"/>
  <c r="H192" i="19"/>
  <c r="H193" i="19"/>
  <c r="H194" i="19"/>
  <c r="H195" i="19"/>
  <c r="H196" i="19"/>
  <c r="H197" i="19"/>
  <c r="H198" i="19"/>
  <c r="H199" i="19"/>
  <c r="H200" i="19"/>
  <c r="H201" i="19"/>
  <c r="H202" i="19"/>
  <c r="H203" i="19"/>
  <c r="H204" i="19"/>
  <c r="H205" i="19"/>
  <c r="H206" i="19"/>
  <c r="H207" i="19"/>
  <c r="H208" i="19"/>
  <c r="H209" i="19"/>
  <c r="H210" i="19"/>
  <c r="H211" i="19"/>
  <c r="H212" i="19"/>
  <c r="H213" i="19"/>
  <c r="H214" i="19"/>
  <c r="H215" i="19"/>
  <c r="H216" i="19"/>
  <c r="H217" i="19"/>
  <c r="H218" i="19"/>
  <c r="H219" i="19"/>
  <c r="H220" i="19"/>
  <c r="H221" i="19"/>
  <c r="H222" i="19"/>
  <c r="H223" i="19"/>
  <c r="H224" i="19"/>
  <c r="H225" i="19"/>
  <c r="H226" i="19"/>
  <c r="D246" i="1"/>
  <c r="G246" i="1" s="1"/>
  <c r="F3" i="1"/>
  <c r="D3" i="1" s="1"/>
  <c r="F5" i="1"/>
  <c r="D5" i="1" s="1"/>
  <c r="G5" i="1" s="1"/>
  <c r="F6" i="1"/>
  <c r="D6" i="1" s="1"/>
  <c r="G6" i="1" s="1"/>
  <c r="F7" i="1"/>
  <c r="D7" i="1" s="1"/>
  <c r="F8" i="1"/>
  <c r="E8" i="1" s="1"/>
  <c r="F9" i="1"/>
  <c r="D9" i="1" s="1"/>
  <c r="G9" i="1" s="1"/>
  <c r="F10" i="1"/>
  <c r="D10" i="1" s="1"/>
  <c r="G10" i="1" s="1"/>
  <c r="F11" i="1"/>
  <c r="D11" i="1" s="1"/>
  <c r="G11" i="1" s="1"/>
  <c r="F12" i="1"/>
  <c r="E12" i="1" s="1"/>
  <c r="F13" i="1"/>
  <c r="D13" i="1" s="1"/>
  <c r="F14" i="1"/>
  <c r="D14" i="1" s="1"/>
  <c r="G14" i="1" s="1"/>
  <c r="F15" i="1"/>
  <c r="D15" i="1" s="1"/>
  <c r="G15" i="1" s="1"/>
  <c r="F16" i="1"/>
  <c r="D16" i="1" s="1"/>
  <c r="F17" i="1"/>
  <c r="D17" i="1" s="1"/>
  <c r="F18" i="1"/>
  <c r="D18" i="1" s="1"/>
  <c r="F19" i="1"/>
  <c r="D19" i="1" s="1"/>
  <c r="G19" i="1" s="1"/>
  <c r="F20" i="1"/>
  <c r="E20" i="1" s="1"/>
  <c r="F21" i="1"/>
  <c r="D21" i="1" s="1"/>
  <c r="G21" i="1" s="1"/>
  <c r="F22" i="1"/>
  <c r="D22" i="1" s="1"/>
  <c r="G22" i="1" s="1"/>
  <c r="F23" i="1"/>
  <c r="D23" i="1" s="1"/>
  <c r="G23" i="1" s="1"/>
  <c r="F24" i="1"/>
  <c r="E24" i="1" s="1"/>
  <c r="F25" i="1"/>
  <c r="D25" i="1" s="1"/>
  <c r="F26" i="1"/>
  <c r="D26" i="1" s="1"/>
  <c r="F27" i="1"/>
  <c r="D27" i="1" s="1"/>
  <c r="F28" i="1"/>
  <c r="E28" i="1" s="1"/>
  <c r="F29" i="1"/>
  <c r="D29" i="1" s="1"/>
  <c r="F30" i="1"/>
  <c r="D30" i="1" s="1"/>
  <c r="G30" i="1" s="1"/>
  <c r="F31" i="1"/>
  <c r="D31" i="1" s="1"/>
  <c r="G31" i="1" s="1"/>
  <c r="F32" i="1"/>
  <c r="D32" i="1" s="1"/>
  <c r="G32" i="1" s="1"/>
  <c r="F33" i="1"/>
  <c r="D33" i="1" s="1"/>
  <c r="G33" i="1" s="1"/>
  <c r="F34" i="1"/>
  <c r="D34" i="1" s="1"/>
  <c r="G34" i="1" s="1"/>
  <c r="F35" i="1"/>
  <c r="D35" i="1" s="1"/>
  <c r="G35" i="1" s="1"/>
  <c r="F36" i="1"/>
  <c r="D36" i="1" s="1"/>
  <c r="F37" i="1"/>
  <c r="D37" i="1" s="1"/>
  <c r="G37" i="1" s="1"/>
  <c r="F38" i="1"/>
  <c r="D38" i="1" s="1"/>
  <c r="G38" i="1" s="1"/>
  <c r="F39" i="1"/>
  <c r="D39" i="1" s="1"/>
  <c r="G39" i="1" s="1"/>
  <c r="F40" i="1"/>
  <c r="E40" i="1" s="1"/>
  <c r="F41" i="1"/>
  <c r="D41" i="1" s="1"/>
  <c r="G41" i="1" s="1"/>
  <c r="F42" i="1"/>
  <c r="D42" i="1" s="1"/>
  <c r="G42" i="1" s="1"/>
  <c r="F43" i="1"/>
  <c r="D43" i="1" s="1"/>
  <c r="G43" i="1" s="1"/>
  <c r="F44" i="1"/>
  <c r="E44" i="1" s="1"/>
  <c r="F45" i="1"/>
  <c r="D45" i="1" s="1"/>
  <c r="G45" i="1" s="1"/>
  <c r="F46" i="1"/>
  <c r="D46" i="1" s="1"/>
  <c r="G46" i="1" s="1"/>
  <c r="F47" i="1"/>
  <c r="D47" i="1" s="1"/>
  <c r="G47" i="1" s="1"/>
  <c r="F48" i="1"/>
  <c r="D48" i="1" s="1"/>
  <c r="G48" i="1" s="1"/>
  <c r="F49" i="1"/>
  <c r="D49" i="1" s="1"/>
  <c r="G49" i="1" s="1"/>
  <c r="F50" i="1"/>
  <c r="D50" i="1" s="1"/>
  <c r="G50" i="1" s="1"/>
  <c r="F51" i="1"/>
  <c r="D51" i="1" s="1"/>
  <c r="G51" i="1" s="1"/>
  <c r="F52" i="1"/>
  <c r="D52" i="1" s="1"/>
  <c r="G52" i="1" s="1"/>
  <c r="F53" i="1"/>
  <c r="D53" i="1" s="1"/>
  <c r="G53" i="1" s="1"/>
  <c r="F54" i="1"/>
  <c r="D54" i="1" s="1"/>
  <c r="G54" i="1" s="1"/>
  <c r="F55" i="1"/>
  <c r="D55" i="1" s="1"/>
  <c r="G55" i="1" s="1"/>
  <c r="F56" i="1"/>
  <c r="E56" i="1" s="1"/>
  <c r="F57" i="1"/>
  <c r="D57" i="1" s="1"/>
  <c r="G57" i="1" s="1"/>
  <c r="F58" i="1"/>
  <c r="D58" i="1" s="1"/>
  <c r="G58" i="1" s="1"/>
  <c r="F59" i="1"/>
  <c r="D59" i="1" s="1"/>
  <c r="G59" i="1" s="1"/>
  <c r="F60" i="1"/>
  <c r="E60" i="1" s="1"/>
  <c r="F61" i="1"/>
  <c r="D61" i="1" s="1"/>
  <c r="G61" i="1" s="1"/>
  <c r="F62" i="1"/>
  <c r="D62" i="1" s="1"/>
  <c r="G62" i="1" s="1"/>
  <c r="F63" i="1"/>
  <c r="D63" i="1" s="1"/>
  <c r="G63" i="1" s="1"/>
  <c r="F64" i="1"/>
  <c r="D64" i="1" s="1"/>
  <c r="G64" i="1" s="1"/>
  <c r="F65" i="1"/>
  <c r="D65" i="1" s="1"/>
  <c r="G65" i="1" s="1"/>
  <c r="F66" i="1"/>
  <c r="D66" i="1" s="1"/>
  <c r="G66" i="1" s="1"/>
  <c r="F67" i="1"/>
  <c r="D67" i="1" s="1"/>
  <c r="G67" i="1" s="1"/>
  <c r="F68" i="1"/>
  <c r="D68" i="1" s="1"/>
  <c r="G68" i="1" s="1"/>
  <c r="F69" i="1"/>
  <c r="D69" i="1" s="1"/>
  <c r="G69" i="1" s="1"/>
  <c r="F70" i="1"/>
  <c r="D70" i="1" s="1"/>
  <c r="G70" i="1" s="1"/>
  <c r="F71" i="1"/>
  <c r="D71" i="1" s="1"/>
  <c r="G71" i="1" s="1"/>
  <c r="F72" i="1"/>
  <c r="E72" i="1" s="1"/>
  <c r="F73" i="1"/>
  <c r="D73" i="1" s="1"/>
  <c r="G73" i="1" s="1"/>
  <c r="F74" i="1"/>
  <c r="D74" i="1" s="1"/>
  <c r="G74" i="1" s="1"/>
  <c r="F75" i="1"/>
  <c r="D75" i="1" s="1"/>
  <c r="G75" i="1" s="1"/>
  <c r="F76" i="1"/>
  <c r="E76" i="1" s="1"/>
  <c r="F77" i="1"/>
  <c r="D77" i="1" s="1"/>
  <c r="G77" i="1" s="1"/>
  <c r="F78" i="1"/>
  <c r="D78" i="1" s="1"/>
  <c r="G78" i="1" s="1"/>
  <c r="F79" i="1"/>
  <c r="D79" i="1" s="1"/>
  <c r="G79" i="1" s="1"/>
  <c r="F80" i="1"/>
  <c r="D80" i="1" s="1"/>
  <c r="G80" i="1" s="1"/>
  <c r="F81" i="1"/>
  <c r="D81" i="1" s="1"/>
  <c r="G81" i="1" s="1"/>
  <c r="F82" i="1"/>
  <c r="D82" i="1" s="1"/>
  <c r="G82" i="1" s="1"/>
  <c r="F83" i="1"/>
  <c r="D83" i="1" s="1"/>
  <c r="G83" i="1" s="1"/>
  <c r="F84" i="1"/>
  <c r="D84" i="1" s="1"/>
  <c r="G84" i="1" s="1"/>
  <c r="F85" i="1"/>
  <c r="D85" i="1" s="1"/>
  <c r="G85" i="1" s="1"/>
  <c r="F86" i="1"/>
  <c r="D86" i="1" s="1"/>
  <c r="G86" i="1" s="1"/>
  <c r="F87" i="1"/>
  <c r="D87" i="1" s="1"/>
  <c r="G87" i="1" s="1"/>
  <c r="F88" i="1"/>
  <c r="E88" i="1" s="1"/>
  <c r="F89" i="1"/>
  <c r="D89" i="1" s="1"/>
  <c r="G89" i="1" s="1"/>
  <c r="F90" i="1"/>
  <c r="D90" i="1" s="1"/>
  <c r="G90" i="1" s="1"/>
  <c r="F91" i="1"/>
  <c r="D91" i="1" s="1"/>
  <c r="G91" i="1" s="1"/>
  <c r="F92" i="1"/>
  <c r="E92" i="1" s="1"/>
  <c r="F93" i="1"/>
  <c r="D93" i="1" s="1"/>
  <c r="G93" i="1" s="1"/>
  <c r="F94" i="1"/>
  <c r="D94" i="1" s="1"/>
  <c r="G94" i="1" s="1"/>
  <c r="F95" i="1"/>
  <c r="D95" i="1" s="1"/>
  <c r="G95" i="1" s="1"/>
  <c r="F96" i="1"/>
  <c r="D96" i="1" s="1"/>
  <c r="G96" i="1" s="1"/>
  <c r="F97" i="1"/>
  <c r="D97" i="1" s="1"/>
  <c r="G97" i="1" s="1"/>
  <c r="F98" i="1"/>
  <c r="D98" i="1" s="1"/>
  <c r="G98" i="1" s="1"/>
  <c r="F99" i="1"/>
  <c r="D99" i="1" s="1"/>
  <c r="G99" i="1" s="1"/>
  <c r="F100" i="1"/>
  <c r="D100" i="1" s="1"/>
  <c r="G100" i="1" s="1"/>
  <c r="F101" i="1"/>
  <c r="D101" i="1" s="1"/>
  <c r="G101" i="1" s="1"/>
  <c r="F102" i="1"/>
  <c r="D102" i="1" s="1"/>
  <c r="G102" i="1" s="1"/>
  <c r="F103" i="1"/>
  <c r="D103" i="1" s="1"/>
  <c r="G103" i="1" s="1"/>
  <c r="F104" i="1"/>
  <c r="E104" i="1" s="1"/>
  <c r="F105" i="1"/>
  <c r="D105" i="1" s="1"/>
  <c r="G105" i="1" s="1"/>
  <c r="F106" i="1"/>
  <c r="D106" i="1" s="1"/>
  <c r="G106" i="1" s="1"/>
  <c r="F107" i="1"/>
  <c r="D107" i="1" s="1"/>
  <c r="G107" i="1" s="1"/>
  <c r="F108" i="1"/>
  <c r="E108" i="1" s="1"/>
  <c r="F109" i="1"/>
  <c r="D109" i="1" s="1"/>
  <c r="G109" i="1" s="1"/>
  <c r="F110" i="1"/>
  <c r="D110" i="1" s="1"/>
  <c r="G110" i="1" s="1"/>
  <c r="F111" i="1"/>
  <c r="D111" i="1" s="1"/>
  <c r="G111" i="1" s="1"/>
  <c r="F112" i="1"/>
  <c r="D112" i="1" s="1"/>
  <c r="G112" i="1" s="1"/>
  <c r="F113" i="1"/>
  <c r="D113" i="1" s="1"/>
  <c r="G113" i="1" s="1"/>
  <c r="F114" i="1"/>
  <c r="D114" i="1" s="1"/>
  <c r="G114" i="1" s="1"/>
  <c r="F115" i="1"/>
  <c r="D115" i="1" s="1"/>
  <c r="G115" i="1" s="1"/>
  <c r="F116" i="1"/>
  <c r="D116" i="1" s="1"/>
  <c r="G116" i="1" s="1"/>
  <c r="F117" i="1"/>
  <c r="D117" i="1" s="1"/>
  <c r="G117" i="1" s="1"/>
  <c r="F118" i="1"/>
  <c r="D118" i="1" s="1"/>
  <c r="G118" i="1" s="1"/>
  <c r="F119" i="1"/>
  <c r="D119" i="1" s="1"/>
  <c r="G119" i="1" s="1"/>
  <c r="F120" i="1"/>
  <c r="E120" i="1" s="1"/>
  <c r="F121" i="1"/>
  <c r="D121" i="1" s="1"/>
  <c r="G121" i="1" s="1"/>
  <c r="F122" i="1"/>
  <c r="D122" i="1" s="1"/>
  <c r="G122" i="1" s="1"/>
  <c r="F123" i="1"/>
  <c r="D123" i="1" s="1"/>
  <c r="G123" i="1" s="1"/>
  <c r="F124" i="1"/>
  <c r="E124" i="1" s="1"/>
  <c r="F125" i="1"/>
  <c r="D125" i="1" s="1"/>
  <c r="G125" i="1" s="1"/>
  <c r="F126" i="1"/>
  <c r="D126" i="1" s="1"/>
  <c r="G126" i="1" s="1"/>
  <c r="F127" i="1"/>
  <c r="D127" i="1" s="1"/>
  <c r="G127" i="1" s="1"/>
  <c r="F128" i="1"/>
  <c r="D128" i="1" s="1"/>
  <c r="G128" i="1" s="1"/>
  <c r="F129" i="1"/>
  <c r="D129" i="1" s="1"/>
  <c r="G129" i="1" s="1"/>
  <c r="F130" i="1"/>
  <c r="D130" i="1" s="1"/>
  <c r="G130" i="1" s="1"/>
  <c r="F131" i="1"/>
  <c r="D131" i="1" s="1"/>
  <c r="G131" i="1" s="1"/>
  <c r="F132" i="1"/>
  <c r="D132" i="1" s="1"/>
  <c r="G132" i="1" s="1"/>
  <c r="F133" i="1"/>
  <c r="D133" i="1" s="1"/>
  <c r="G133" i="1" s="1"/>
  <c r="F134" i="1"/>
  <c r="D134" i="1" s="1"/>
  <c r="G134" i="1" s="1"/>
  <c r="F135" i="1"/>
  <c r="D135" i="1" s="1"/>
  <c r="G135" i="1" s="1"/>
  <c r="F136" i="1"/>
  <c r="E136" i="1" s="1"/>
  <c r="F137" i="1"/>
  <c r="D137" i="1" s="1"/>
  <c r="G137" i="1" s="1"/>
  <c r="F138" i="1"/>
  <c r="D138" i="1" s="1"/>
  <c r="G138" i="1" s="1"/>
  <c r="F139" i="1"/>
  <c r="D139" i="1" s="1"/>
  <c r="G139" i="1" s="1"/>
  <c r="F140" i="1"/>
  <c r="E140" i="1" s="1"/>
  <c r="F141" i="1"/>
  <c r="D141" i="1" s="1"/>
  <c r="G141" i="1" s="1"/>
  <c r="F142" i="1"/>
  <c r="D142" i="1" s="1"/>
  <c r="G142" i="1" s="1"/>
  <c r="F143" i="1"/>
  <c r="D143" i="1" s="1"/>
  <c r="G143" i="1" s="1"/>
  <c r="F144" i="1"/>
  <c r="D144" i="1" s="1"/>
  <c r="G144" i="1" s="1"/>
  <c r="F145" i="1"/>
  <c r="D145" i="1" s="1"/>
  <c r="G145" i="1" s="1"/>
  <c r="F146" i="1"/>
  <c r="D146" i="1" s="1"/>
  <c r="G146" i="1" s="1"/>
  <c r="F147" i="1"/>
  <c r="D147" i="1" s="1"/>
  <c r="G147" i="1" s="1"/>
  <c r="F148" i="1"/>
  <c r="D148" i="1" s="1"/>
  <c r="G148" i="1" s="1"/>
  <c r="F149" i="1"/>
  <c r="D149" i="1" s="1"/>
  <c r="G149" i="1" s="1"/>
  <c r="F150" i="1"/>
  <c r="D150" i="1" s="1"/>
  <c r="G150" i="1" s="1"/>
  <c r="F151" i="1"/>
  <c r="D151" i="1" s="1"/>
  <c r="G151" i="1" s="1"/>
  <c r="F152" i="1"/>
  <c r="E152" i="1" s="1"/>
  <c r="F153" i="1"/>
  <c r="D153" i="1" s="1"/>
  <c r="G153" i="1" s="1"/>
  <c r="F154" i="1"/>
  <c r="D154" i="1" s="1"/>
  <c r="G154" i="1" s="1"/>
  <c r="F155" i="1"/>
  <c r="D155" i="1" s="1"/>
  <c r="G155" i="1" s="1"/>
  <c r="F156" i="1"/>
  <c r="E156" i="1" s="1"/>
  <c r="F157" i="1"/>
  <c r="D157" i="1" s="1"/>
  <c r="G157" i="1" s="1"/>
  <c r="F158" i="1"/>
  <c r="D158" i="1" s="1"/>
  <c r="G158" i="1" s="1"/>
  <c r="F159" i="1"/>
  <c r="D159" i="1" s="1"/>
  <c r="G159" i="1" s="1"/>
  <c r="F160" i="1"/>
  <c r="D160" i="1" s="1"/>
  <c r="G160" i="1" s="1"/>
  <c r="F161" i="1"/>
  <c r="D161" i="1" s="1"/>
  <c r="G161" i="1" s="1"/>
  <c r="F162" i="1"/>
  <c r="D162" i="1" s="1"/>
  <c r="G162" i="1" s="1"/>
  <c r="F163" i="1"/>
  <c r="D163" i="1" s="1"/>
  <c r="G163" i="1" s="1"/>
  <c r="F164" i="1"/>
  <c r="D164" i="1" s="1"/>
  <c r="G164" i="1" s="1"/>
  <c r="F165" i="1"/>
  <c r="D165" i="1" s="1"/>
  <c r="G165" i="1" s="1"/>
  <c r="F166" i="1"/>
  <c r="D166" i="1" s="1"/>
  <c r="G166" i="1" s="1"/>
  <c r="F167" i="1"/>
  <c r="D167" i="1" s="1"/>
  <c r="G167" i="1" s="1"/>
  <c r="F168" i="1"/>
  <c r="E168" i="1" s="1"/>
  <c r="F169" i="1"/>
  <c r="D169" i="1" s="1"/>
  <c r="G169" i="1" s="1"/>
  <c r="F170" i="1"/>
  <c r="D170" i="1" s="1"/>
  <c r="G170" i="1" s="1"/>
  <c r="F171" i="1"/>
  <c r="D171" i="1" s="1"/>
  <c r="G171" i="1" s="1"/>
  <c r="F172" i="1"/>
  <c r="E172" i="1" s="1"/>
  <c r="F173" i="1"/>
  <c r="D173" i="1" s="1"/>
  <c r="G173" i="1" s="1"/>
  <c r="F174" i="1"/>
  <c r="D174" i="1" s="1"/>
  <c r="G174" i="1" s="1"/>
  <c r="F175" i="1"/>
  <c r="D175" i="1" s="1"/>
  <c r="G175" i="1" s="1"/>
  <c r="F176" i="1"/>
  <c r="D176" i="1" s="1"/>
  <c r="G176" i="1" s="1"/>
  <c r="F177" i="1"/>
  <c r="D177" i="1" s="1"/>
  <c r="G177" i="1" s="1"/>
  <c r="F178" i="1"/>
  <c r="D178" i="1" s="1"/>
  <c r="G178" i="1" s="1"/>
  <c r="F179" i="1"/>
  <c r="D179" i="1" s="1"/>
  <c r="G179" i="1" s="1"/>
  <c r="F180" i="1"/>
  <c r="D180" i="1" s="1"/>
  <c r="G180" i="1" s="1"/>
  <c r="F181" i="1"/>
  <c r="D181" i="1" s="1"/>
  <c r="G181" i="1" s="1"/>
  <c r="F182" i="1"/>
  <c r="D182" i="1" s="1"/>
  <c r="G182" i="1" s="1"/>
  <c r="F183" i="1"/>
  <c r="D183" i="1" s="1"/>
  <c r="G183" i="1" s="1"/>
  <c r="F184" i="1"/>
  <c r="E184" i="1" s="1"/>
  <c r="F185" i="1"/>
  <c r="D185" i="1" s="1"/>
  <c r="G185" i="1" s="1"/>
  <c r="F186" i="1"/>
  <c r="D186" i="1" s="1"/>
  <c r="G186" i="1" s="1"/>
  <c r="F187" i="1"/>
  <c r="D187" i="1" s="1"/>
  <c r="G187" i="1" s="1"/>
  <c r="F188" i="1"/>
  <c r="E188" i="1" s="1"/>
  <c r="F189" i="1"/>
  <c r="D189" i="1" s="1"/>
  <c r="G189" i="1" s="1"/>
  <c r="F190" i="1"/>
  <c r="D190" i="1" s="1"/>
  <c r="G190" i="1" s="1"/>
  <c r="F191" i="1"/>
  <c r="D191" i="1" s="1"/>
  <c r="G191" i="1" s="1"/>
  <c r="F192" i="1"/>
  <c r="D192" i="1" s="1"/>
  <c r="G192" i="1" s="1"/>
  <c r="F193" i="1"/>
  <c r="D193" i="1" s="1"/>
  <c r="G193" i="1" s="1"/>
  <c r="F194" i="1"/>
  <c r="D194" i="1" s="1"/>
  <c r="G194" i="1" s="1"/>
  <c r="F195" i="1"/>
  <c r="D195" i="1" s="1"/>
  <c r="G195" i="1" s="1"/>
  <c r="F196" i="1"/>
  <c r="D196" i="1" s="1"/>
  <c r="G196" i="1" s="1"/>
  <c r="F197" i="1"/>
  <c r="D197" i="1" s="1"/>
  <c r="G197" i="1" s="1"/>
  <c r="F198" i="1"/>
  <c r="D198" i="1" s="1"/>
  <c r="G198" i="1" s="1"/>
  <c r="F199" i="1"/>
  <c r="D199" i="1" s="1"/>
  <c r="G199" i="1" s="1"/>
  <c r="F200" i="1"/>
  <c r="E200" i="1" s="1"/>
  <c r="F201" i="1"/>
  <c r="D201" i="1" s="1"/>
  <c r="G201" i="1" s="1"/>
  <c r="F202" i="1"/>
  <c r="D202" i="1" s="1"/>
  <c r="G202" i="1" s="1"/>
  <c r="F203" i="1"/>
  <c r="D203" i="1" s="1"/>
  <c r="G203" i="1" s="1"/>
  <c r="F204" i="1"/>
  <c r="E204" i="1" s="1"/>
  <c r="F205" i="1"/>
  <c r="D205" i="1" s="1"/>
  <c r="G205" i="1" s="1"/>
  <c r="F206" i="1"/>
  <c r="D206" i="1" s="1"/>
  <c r="G206" i="1" s="1"/>
  <c r="F207" i="1"/>
  <c r="D207" i="1" s="1"/>
  <c r="G207" i="1" s="1"/>
  <c r="F208" i="1"/>
  <c r="D208" i="1" s="1"/>
  <c r="G208" i="1" s="1"/>
  <c r="F209" i="1"/>
  <c r="D209" i="1" s="1"/>
  <c r="G209" i="1" s="1"/>
  <c r="F210" i="1"/>
  <c r="D210" i="1" s="1"/>
  <c r="G210" i="1" s="1"/>
  <c r="F211" i="1"/>
  <c r="D211" i="1" s="1"/>
  <c r="G211" i="1" s="1"/>
  <c r="F212" i="1"/>
  <c r="D212" i="1" s="1"/>
  <c r="G212" i="1" s="1"/>
  <c r="F213" i="1"/>
  <c r="D213" i="1" s="1"/>
  <c r="G213" i="1" s="1"/>
  <c r="F214" i="1"/>
  <c r="D214" i="1" s="1"/>
  <c r="G214" i="1" s="1"/>
  <c r="F215" i="1"/>
  <c r="D215" i="1" s="1"/>
  <c r="G215" i="1" s="1"/>
  <c r="F216" i="1"/>
  <c r="E216" i="1" s="1"/>
  <c r="F217" i="1"/>
  <c r="D217" i="1" s="1"/>
  <c r="G217" i="1" s="1"/>
  <c r="F218" i="1"/>
  <c r="D218" i="1" s="1"/>
  <c r="G218" i="1" s="1"/>
  <c r="F219" i="1"/>
  <c r="D219" i="1" s="1"/>
  <c r="G219" i="1" s="1"/>
  <c r="F220" i="1"/>
  <c r="E220" i="1" s="1"/>
  <c r="F221" i="1"/>
  <c r="D221" i="1" s="1"/>
  <c r="G221" i="1" s="1"/>
  <c r="F222" i="1"/>
  <c r="D222" i="1" s="1"/>
  <c r="G222" i="1" s="1"/>
  <c r="F223" i="1"/>
  <c r="D223" i="1" s="1"/>
  <c r="G223" i="1" s="1"/>
  <c r="F224" i="1"/>
  <c r="D224" i="1" s="1"/>
  <c r="G224" i="1" s="1"/>
  <c r="F225" i="1"/>
  <c r="D225" i="1" s="1"/>
  <c r="G225" i="1" s="1"/>
  <c r="F226" i="1"/>
  <c r="D226" i="1" s="1"/>
  <c r="G226" i="1" s="1"/>
  <c r="F227" i="1"/>
  <c r="D227" i="1" s="1"/>
  <c r="G227" i="1" s="1"/>
  <c r="F228" i="1"/>
  <c r="D228" i="1" s="1"/>
  <c r="G228" i="1" s="1"/>
  <c r="F229" i="1"/>
  <c r="D229" i="1" s="1"/>
  <c r="G229" i="1" s="1"/>
  <c r="F230" i="1"/>
  <c r="D230" i="1" s="1"/>
  <c r="G230" i="1" s="1"/>
  <c r="F231" i="1"/>
  <c r="D231" i="1" s="1"/>
  <c r="G231" i="1" s="1"/>
  <c r="F232" i="1"/>
  <c r="E232" i="1" s="1"/>
  <c r="F233" i="1"/>
  <c r="D233" i="1" s="1"/>
  <c r="G233" i="1" s="1"/>
  <c r="F234" i="1"/>
  <c r="D234" i="1" s="1"/>
  <c r="G234" i="1" s="1"/>
  <c r="F235" i="1"/>
  <c r="D235" i="1" s="1"/>
  <c r="G235" i="1" s="1"/>
  <c r="F236" i="1"/>
  <c r="E236" i="1" s="1"/>
  <c r="F237" i="1"/>
  <c r="D237" i="1" s="1"/>
  <c r="G237" i="1" s="1"/>
  <c r="F238" i="1"/>
  <c r="D238" i="1" s="1"/>
  <c r="G238" i="1" s="1"/>
  <c r="F239" i="1"/>
  <c r="D239" i="1" s="1"/>
  <c r="G239" i="1" s="1"/>
  <c r="F240" i="1"/>
  <c r="D240" i="1" s="1"/>
  <c r="G240" i="1" s="1"/>
  <c r="F241" i="1"/>
  <c r="D241" i="1" s="1"/>
  <c r="G241" i="1" s="1"/>
  <c r="F242" i="1"/>
  <c r="D242" i="1" s="1"/>
  <c r="G242" i="1" s="1"/>
  <c r="F243" i="1"/>
  <c r="D243" i="1" s="1"/>
  <c r="G243" i="1" s="1"/>
  <c r="F244" i="1"/>
  <c r="D244" i="1" s="1"/>
  <c r="G244" i="1" s="1"/>
  <c r="F245" i="1"/>
  <c r="D245" i="1" s="1"/>
  <c r="G245" i="1" s="1"/>
  <c r="G7" i="1" l="1"/>
  <c r="G16" i="1"/>
  <c r="G3" i="1"/>
  <c r="G18" i="1"/>
  <c r="G17" i="1"/>
  <c r="G27" i="1"/>
  <c r="G26" i="1"/>
  <c r="G25" i="1"/>
  <c r="G13" i="1"/>
  <c r="G29" i="1"/>
  <c r="G36" i="1"/>
  <c r="E6" i="1"/>
  <c r="E5" i="1"/>
  <c r="D20" i="1"/>
  <c r="G20" i="1" s="1"/>
  <c r="D8" i="1"/>
  <c r="G8" i="1" s="1"/>
  <c r="D24" i="1"/>
  <c r="G24" i="1" s="1"/>
  <c r="D40" i="1"/>
  <c r="G40" i="1" s="1"/>
  <c r="D56" i="1"/>
  <c r="G56" i="1" s="1"/>
  <c r="D72" i="1"/>
  <c r="G72" i="1" s="1"/>
  <c r="D88" i="1"/>
  <c r="G88" i="1" s="1"/>
  <c r="D104" i="1"/>
  <c r="G104" i="1" s="1"/>
  <c r="D120" i="1"/>
  <c r="G120" i="1" s="1"/>
  <c r="D136" i="1"/>
  <c r="G136" i="1" s="1"/>
  <c r="D152" i="1"/>
  <c r="G152" i="1" s="1"/>
  <c r="D168" i="1"/>
  <c r="G168" i="1" s="1"/>
  <c r="D184" i="1"/>
  <c r="G184" i="1" s="1"/>
  <c r="D200" i="1"/>
  <c r="G200" i="1" s="1"/>
  <c r="D216" i="1"/>
  <c r="G216" i="1" s="1"/>
  <c r="D232" i="1"/>
  <c r="G232" i="1" s="1"/>
  <c r="E3" i="1"/>
  <c r="E7" i="1"/>
  <c r="E11" i="1"/>
  <c r="E15" i="1"/>
  <c r="E19" i="1"/>
  <c r="E23" i="1"/>
  <c r="E27" i="1"/>
  <c r="E31" i="1"/>
  <c r="E35" i="1"/>
  <c r="E39" i="1"/>
  <c r="E43" i="1"/>
  <c r="E47" i="1"/>
  <c r="E51" i="1"/>
  <c r="E55" i="1"/>
  <c r="E59" i="1"/>
  <c r="E63" i="1"/>
  <c r="E67" i="1"/>
  <c r="E71" i="1"/>
  <c r="E75" i="1"/>
  <c r="E79" i="1"/>
  <c r="E83" i="1"/>
  <c r="E87" i="1"/>
  <c r="E91" i="1"/>
  <c r="E95" i="1"/>
  <c r="E99" i="1"/>
  <c r="E103" i="1"/>
  <c r="E107" i="1"/>
  <c r="E111" i="1"/>
  <c r="E115" i="1"/>
  <c r="E119" i="1"/>
  <c r="E123" i="1"/>
  <c r="E127" i="1"/>
  <c r="E131" i="1"/>
  <c r="E135" i="1"/>
  <c r="E139" i="1"/>
  <c r="E143" i="1"/>
  <c r="E147" i="1"/>
  <c r="E151" i="1"/>
  <c r="E155" i="1"/>
  <c r="E159" i="1"/>
  <c r="E163" i="1"/>
  <c r="E167" i="1"/>
  <c r="E171" i="1"/>
  <c r="E175" i="1"/>
  <c r="E179" i="1"/>
  <c r="E183" i="1"/>
  <c r="E187" i="1"/>
  <c r="E191" i="1"/>
  <c r="E195" i="1"/>
  <c r="E199" i="1"/>
  <c r="E203" i="1"/>
  <c r="E207" i="1"/>
  <c r="E211" i="1"/>
  <c r="E215" i="1"/>
  <c r="E219" i="1"/>
  <c r="E223" i="1"/>
  <c r="E227" i="1"/>
  <c r="E231" i="1"/>
  <c r="E235" i="1"/>
  <c r="E239" i="1"/>
  <c r="E243" i="1"/>
  <c r="D12" i="1"/>
  <c r="G12" i="1" s="1"/>
  <c r="D28" i="1"/>
  <c r="G28" i="1" s="1"/>
  <c r="D44" i="1"/>
  <c r="G44" i="1" s="1"/>
  <c r="D60" i="1"/>
  <c r="G60" i="1" s="1"/>
  <c r="D76" i="1"/>
  <c r="G76" i="1" s="1"/>
  <c r="D92" i="1"/>
  <c r="G92" i="1" s="1"/>
  <c r="D108" i="1"/>
  <c r="G108" i="1" s="1"/>
  <c r="D124" i="1"/>
  <c r="G124" i="1" s="1"/>
  <c r="D140" i="1"/>
  <c r="G140" i="1" s="1"/>
  <c r="D156" i="1"/>
  <c r="G156" i="1" s="1"/>
  <c r="D172" i="1"/>
  <c r="G172" i="1" s="1"/>
  <c r="D188" i="1"/>
  <c r="G188" i="1" s="1"/>
  <c r="D204" i="1"/>
  <c r="G204" i="1" s="1"/>
  <c r="D220" i="1"/>
  <c r="G220" i="1" s="1"/>
  <c r="D236" i="1"/>
  <c r="G236" i="1" s="1"/>
  <c r="E16" i="1"/>
  <c r="E32" i="1"/>
  <c r="E36" i="1"/>
  <c r="E48" i="1"/>
  <c r="E52" i="1"/>
  <c r="E64" i="1"/>
  <c r="E68" i="1"/>
  <c r="E80" i="1"/>
  <c r="E84" i="1"/>
  <c r="E96" i="1"/>
  <c r="E100" i="1"/>
  <c r="E112" i="1"/>
  <c r="E116" i="1"/>
  <c r="E128" i="1"/>
  <c r="E132" i="1"/>
  <c r="E144" i="1"/>
  <c r="E148" i="1"/>
  <c r="E160" i="1"/>
  <c r="E164" i="1"/>
  <c r="E176" i="1"/>
  <c r="E180" i="1"/>
  <c r="E192" i="1"/>
  <c r="E196" i="1"/>
  <c r="E208" i="1"/>
  <c r="E212" i="1"/>
  <c r="E224" i="1"/>
  <c r="E228" i="1"/>
  <c r="E240" i="1"/>
  <c r="E244" i="1"/>
  <c r="E9" i="1"/>
  <c r="E13" i="1"/>
  <c r="E17" i="1"/>
  <c r="E21" i="1"/>
  <c r="E25" i="1"/>
  <c r="E29" i="1"/>
  <c r="E33" i="1"/>
  <c r="E37" i="1"/>
  <c r="E41" i="1"/>
  <c r="E45" i="1"/>
  <c r="E49" i="1"/>
  <c r="E53" i="1"/>
  <c r="E57" i="1"/>
  <c r="E61" i="1"/>
  <c r="E65" i="1"/>
  <c r="E69" i="1"/>
  <c r="E73" i="1"/>
  <c r="E77" i="1"/>
  <c r="E81" i="1"/>
  <c r="E85" i="1"/>
  <c r="E89" i="1"/>
  <c r="E93" i="1"/>
  <c r="E97" i="1"/>
  <c r="E101" i="1"/>
  <c r="E105" i="1"/>
  <c r="E109" i="1"/>
  <c r="E113" i="1"/>
  <c r="E117" i="1"/>
  <c r="E121" i="1"/>
  <c r="E125" i="1"/>
  <c r="E129" i="1"/>
  <c r="E133" i="1"/>
  <c r="E137" i="1"/>
  <c r="E141" i="1"/>
  <c r="E145" i="1"/>
  <c r="E149" i="1"/>
  <c r="E153" i="1"/>
  <c r="E157" i="1"/>
  <c r="E161" i="1"/>
  <c r="E165" i="1"/>
  <c r="E169" i="1"/>
  <c r="E173" i="1"/>
  <c r="E177" i="1"/>
  <c r="E181" i="1"/>
  <c r="E185" i="1"/>
  <c r="E189" i="1"/>
  <c r="E193" i="1"/>
  <c r="E197" i="1"/>
  <c r="E201" i="1"/>
  <c r="E205" i="1"/>
  <c r="E209" i="1"/>
  <c r="E213" i="1"/>
  <c r="E217" i="1"/>
  <c r="E221" i="1"/>
  <c r="E225" i="1"/>
  <c r="E229" i="1"/>
  <c r="E233" i="1"/>
  <c r="E237" i="1"/>
  <c r="E241" i="1"/>
  <c r="E245" i="1"/>
  <c r="E10" i="1"/>
  <c r="E14" i="1"/>
  <c r="E18" i="1"/>
  <c r="E22" i="1"/>
  <c r="E26" i="1"/>
  <c r="E30" i="1"/>
  <c r="E34" i="1"/>
  <c r="E38" i="1"/>
  <c r="E42" i="1"/>
  <c r="E46" i="1"/>
  <c r="E50" i="1"/>
  <c r="E54" i="1"/>
  <c r="E58" i="1"/>
  <c r="E62" i="1"/>
  <c r="E66" i="1"/>
  <c r="E70" i="1"/>
  <c r="E74" i="1"/>
  <c r="E78" i="1"/>
  <c r="E82" i="1"/>
  <c r="E86" i="1"/>
  <c r="E90" i="1"/>
  <c r="E94" i="1"/>
  <c r="E98" i="1"/>
  <c r="E102" i="1"/>
  <c r="E106" i="1"/>
  <c r="E110" i="1"/>
  <c r="E114" i="1"/>
  <c r="E118" i="1"/>
  <c r="E122" i="1"/>
  <c r="E126" i="1"/>
  <c r="E130" i="1"/>
  <c r="E134" i="1"/>
  <c r="E138" i="1"/>
  <c r="E142" i="1"/>
  <c r="E146" i="1"/>
  <c r="E150" i="1"/>
  <c r="E154" i="1"/>
  <c r="E158" i="1"/>
  <c r="E162" i="1"/>
  <c r="E166" i="1"/>
  <c r="E170" i="1"/>
  <c r="E174" i="1"/>
  <c r="E178" i="1"/>
  <c r="E182" i="1"/>
  <c r="E186" i="1"/>
  <c r="E190" i="1"/>
  <c r="E194" i="1"/>
  <c r="E198" i="1"/>
  <c r="E202" i="1"/>
  <c r="E206" i="1"/>
  <c r="E210" i="1"/>
  <c r="E214" i="1"/>
  <c r="E218" i="1"/>
  <c r="E222" i="1"/>
  <c r="E226" i="1"/>
  <c r="E230" i="1"/>
  <c r="E234" i="1"/>
  <c r="E238" i="1"/>
  <c r="E242" i="1"/>
  <c r="F4" i="1" l="1"/>
  <c r="D4" i="1" l="1"/>
  <c r="G4" i="1" s="1"/>
  <c r="E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A2" authorId="0" shapeId="0" xr:uid="{00000000-0006-0000-0100-000001000000}">
      <text>
        <r>
          <rPr>
            <b/>
            <sz val="10"/>
            <color indexed="81"/>
            <rFont val="ＭＳ Ｐゴシック"/>
            <family val="3"/>
            <charset val="128"/>
          </rPr>
          <t>検索シートからコピペしてください。
飛ばされた行があった場合、エラーになります。
データベースに存在しない項目名を
入力した場合は、値は空欄になります。</t>
        </r>
      </text>
    </comment>
    <comment ref="A3" authorId="0" shapeId="0" xr:uid="{00000000-0006-0000-0100-000002000000}">
      <text>
        <r>
          <rPr>
            <b/>
            <sz val="10"/>
            <color indexed="81"/>
            <rFont val="ＭＳ Ｐゴシック"/>
            <family val="3"/>
            <charset val="128"/>
          </rPr>
          <t>入力がなければ、項目名なしになります。
全項目の入力がなければ、
項目名行（ヘッダ行）がなしになります。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G3" authorId="0" shapeId="0" xr:uid="{00000000-0006-0000-0200-000001000000}">
      <text>
        <r>
          <rPr>
            <b/>
            <sz val="10"/>
            <color indexed="81"/>
            <rFont val="ＭＳ Ｐゴシック"/>
            <family val="3"/>
            <charset val="128"/>
          </rPr>
          <t>このセルだけ
MID関数で最初のカンマを削除している</t>
        </r>
      </text>
    </comment>
    <comment ref="G259" authorId="0" shapeId="0" xr:uid="{00000000-0006-0000-0200-000002000000}">
      <text>
        <r>
          <rPr>
            <b/>
            <sz val="10"/>
            <color indexed="81"/>
            <rFont val="ＭＳ Ｐゴシック"/>
            <family val="3"/>
            <charset val="128"/>
          </rPr>
          <t>作成者:</t>
        </r>
        <r>
          <rPr>
            <sz val="10"/>
            <color indexed="81"/>
            <rFont val="ＭＳ Ｐゴシック"/>
            <family val="3"/>
            <charset val="128"/>
          </rPr>
          <t xml:space="preserve">
ROWNUMで件数制限をするため、ここで順番を整理しておく。</t>
        </r>
      </text>
    </comment>
  </commentList>
</comments>
</file>

<file path=xl/sharedStrings.xml><?xml version="1.0" encoding="utf-8"?>
<sst xmlns="http://schemas.openxmlformats.org/spreadsheetml/2006/main" count="1738" uniqueCount="994">
  <si>
    <t xml:space="preserve">  *</t>
    <phoneticPr fontId="13"/>
  </si>
  <si>
    <t xml:space="preserve"> from </t>
    <phoneticPr fontId="13"/>
  </si>
  <si>
    <t>JOB番号</t>
    <rPh sb="3" eb="5">
      <t>バンゴウ</t>
    </rPh>
    <phoneticPr fontId="13"/>
  </si>
  <si>
    <t>サンプル採取日FROM</t>
    <rPh sb="4" eb="7">
      <t>サイシュビ</t>
    </rPh>
    <phoneticPr fontId="13"/>
  </si>
  <si>
    <t>サンプル採取日TO</t>
    <rPh sb="4" eb="7">
      <t>サイシュビ</t>
    </rPh>
    <phoneticPr fontId="13"/>
  </si>
  <si>
    <t>サンプルCD</t>
    <phoneticPr fontId="13"/>
  </si>
  <si>
    <t xml:space="preserve"> where 1 = 1</t>
    <phoneticPr fontId="13"/>
  </si>
  <si>
    <t>inner join (</t>
    <phoneticPr fontId="13"/>
  </si>
  <si>
    <t>from (</t>
    <phoneticPr fontId="13"/>
  </si>
  <si>
    <t xml:space="preserve"> select</t>
    <phoneticPr fontId="13"/>
  </si>
  <si>
    <t xml:space="preserve">  *</t>
    <phoneticPr fontId="13"/>
  </si>
  <si>
    <t xml:space="preserve"> from</t>
    <phoneticPr fontId="13"/>
  </si>
  <si>
    <t>ホルダCD</t>
    <phoneticPr fontId="13"/>
  </si>
  <si>
    <t>inner join (</t>
    <phoneticPr fontId="13"/>
  </si>
  <si>
    <t xml:space="preserve"> select</t>
    <phoneticPr fontId="13"/>
  </si>
  <si>
    <t xml:space="preserve">  *</t>
    <phoneticPr fontId="13"/>
  </si>
  <si>
    <t xml:space="preserve"> from</t>
    <phoneticPr fontId="13"/>
  </si>
  <si>
    <t xml:space="preserve"> where 1 = 1</t>
    <phoneticPr fontId="13"/>
  </si>
  <si>
    <t>試験項目CD</t>
    <rPh sb="0" eb="4">
      <t>シケンコウモク</t>
    </rPh>
    <phoneticPr fontId="13"/>
  </si>
  <si>
    <t>order by</t>
    <phoneticPr fontId="13"/>
  </si>
  <si>
    <t xml:space="preserve"> select</t>
    <phoneticPr fontId="13"/>
  </si>
  <si>
    <t>依頼番号</t>
  </si>
  <si>
    <t>サンプル名</t>
  </si>
  <si>
    <t>状態</t>
    <rPh sb="0" eb="2">
      <t>ジョウタイ</t>
    </rPh>
    <phoneticPr fontId="13"/>
  </si>
  <si>
    <t>サンプルCD</t>
  </si>
  <si>
    <t>サンプルグループCD</t>
    <phoneticPr fontId="13"/>
  </si>
  <si>
    <t xml:space="preserve">  and STATE = 'U'</t>
    <phoneticPr fontId="13"/>
  </si>
  <si>
    <t>サンプルグループCD</t>
  </si>
  <si>
    <t>ホルダCD</t>
  </si>
  <si>
    <t>年</t>
    <rPh sb="0" eb="1">
      <t>ネン</t>
    </rPh>
    <phoneticPr fontId="13"/>
  </si>
  <si>
    <t>月</t>
    <rPh sb="0" eb="1">
      <t>ゲツ</t>
    </rPh>
    <phoneticPr fontId="13"/>
  </si>
  <si>
    <t>日</t>
    <rPh sb="0" eb="1">
      <t>ニチ</t>
    </rPh>
    <phoneticPr fontId="13"/>
  </si>
  <si>
    <t>select</t>
    <phoneticPr fontId="13"/>
  </si>
  <si>
    <t xml:space="preserve">  LDBTSMP</t>
    <phoneticPr fontId="13"/>
  </si>
  <si>
    <t xml:space="preserve">  LDBTHLD</t>
    <phoneticPr fontId="13"/>
  </si>
  <si>
    <t xml:space="preserve">  LDBTTST </t>
    <phoneticPr fontId="13"/>
  </si>
  <si>
    <t>order by REQNO desc</t>
    <phoneticPr fontId="13"/>
  </si>
  <si>
    <t>left join LDBMPRT1 PRT</t>
    <phoneticPr fontId="13"/>
  </si>
  <si>
    <t>left join LDBMUNT UNT</t>
    <phoneticPr fontId="13"/>
  </si>
  <si>
    <t>left join LDBMUSR USR2</t>
    <phoneticPr fontId="13"/>
  </si>
  <si>
    <t/>
  </si>
  <si>
    <t>JOB番号 or JOB枝番号</t>
    <rPh sb="3" eb="5">
      <t>バンゴウ</t>
    </rPh>
    <rPh sb="12" eb="13">
      <t>エダ</t>
    </rPh>
    <rPh sb="13" eb="15">
      <t>バンゴウ</t>
    </rPh>
    <phoneticPr fontId="13"/>
  </si>
  <si>
    <t>必須</t>
    <rPh sb="0" eb="2">
      <t>ヒッス</t>
    </rPh>
    <phoneticPr fontId="13"/>
  </si>
  <si>
    <t>試験項目CD</t>
    <rPh sb="0" eb="4">
      <t>シケンコウモク</t>
    </rPh>
    <phoneticPr fontId="6"/>
  </si>
  <si>
    <t>73</t>
  </si>
  <si>
    <t>74</t>
  </si>
  <si>
    <t>5</t>
  </si>
  <si>
    <t>27</t>
  </si>
  <si>
    <t>47</t>
  </si>
  <si>
    <t>181</t>
  </si>
  <si>
    <t>3</t>
  </si>
  <si>
    <t>163</t>
  </si>
  <si>
    <t>4</t>
  </si>
  <si>
    <t>30</t>
  </si>
  <si>
    <t>25</t>
  </si>
  <si>
    <t>24</t>
  </si>
  <si>
    <t>89</t>
  </si>
  <si>
    <t>200</t>
  </si>
  <si>
    <t>20</t>
  </si>
  <si>
    <t>80</t>
  </si>
  <si>
    <t>34</t>
  </si>
  <si>
    <t>8</t>
  </si>
  <si>
    <t>12</t>
  </si>
  <si>
    <t>28</t>
  </si>
  <si>
    <t>50</t>
  </si>
  <si>
    <t>6</t>
  </si>
  <si>
    <t>53</t>
  </si>
  <si>
    <t>54</t>
  </si>
  <si>
    <t>118</t>
  </si>
  <si>
    <t>109</t>
  </si>
  <si>
    <t>7</t>
  </si>
  <si>
    <t>26</t>
  </si>
  <si>
    <t>40</t>
  </si>
  <si>
    <t>55</t>
  </si>
  <si>
    <t>100</t>
  </si>
  <si>
    <t>15</t>
  </si>
  <si>
    <t>17</t>
  </si>
  <si>
    <t>57</t>
  </si>
  <si>
    <t>29</t>
  </si>
  <si>
    <t>10</t>
  </si>
  <si>
    <t>31</t>
  </si>
  <si>
    <t>37</t>
  </si>
  <si>
    <t>36</t>
  </si>
  <si>
    <t>33</t>
  </si>
  <si>
    <t>59</t>
  </si>
  <si>
    <t>48</t>
  </si>
  <si>
    <t>190</t>
  </si>
  <si>
    <t>14</t>
  </si>
  <si>
    <t>35</t>
  </si>
  <si>
    <t>88</t>
  </si>
  <si>
    <t>87</t>
  </si>
  <si>
    <t>91</t>
  </si>
  <si>
    <t>180</t>
  </si>
  <si>
    <t>170</t>
  </si>
  <si>
    <t>気温</t>
  </si>
  <si>
    <t>99</t>
  </si>
  <si>
    <t>22</t>
  </si>
  <si>
    <t>39</t>
  </si>
  <si>
    <t>・V4のデータをCSVで出力する用のエクセル</t>
    <rPh sb="12" eb="14">
      <t>シュツリョク</t>
    </rPh>
    <rPh sb="16" eb="17">
      <t>ヨウ</t>
    </rPh>
    <phoneticPr fontId="13"/>
  </si>
  <si>
    <t>・項目が変更になる可能性がありそうなのでユーザで調整できるようにする。</t>
    <rPh sb="1" eb="3">
      <t>コウモク</t>
    </rPh>
    <rPh sb="4" eb="6">
      <t>ヘンコウ</t>
    </rPh>
    <rPh sb="9" eb="12">
      <t>カノウセイ</t>
    </rPh>
    <rPh sb="24" eb="26">
      <t>チョウセイ</t>
    </rPh>
    <phoneticPr fontId="13"/>
  </si>
  <si>
    <t>タイトル</t>
  </si>
  <si>
    <t>REQNO</t>
  </si>
  <si>
    <t>STATE</t>
  </si>
  <si>
    <t>状態</t>
  </si>
  <si>
    <t>STATEX</t>
  </si>
  <si>
    <t>拡張状態</t>
  </si>
  <si>
    <t>SMGCD</t>
  </si>
  <si>
    <t>サンプルグループコード</t>
  </si>
  <si>
    <t>SMGNM</t>
  </si>
  <si>
    <t>サンプルグループ名</t>
  </si>
  <si>
    <t>SMPCD</t>
  </si>
  <si>
    <t>サンプルコード</t>
  </si>
  <si>
    <t>SMPNM</t>
  </si>
  <si>
    <t>SMPNO</t>
  </si>
  <si>
    <t>サンプル番号</t>
  </si>
  <si>
    <t>SMPLOCK</t>
  </si>
  <si>
    <t>サンプルロック</t>
  </si>
  <si>
    <t>SMPPRTY</t>
  </si>
  <si>
    <t>サンプル優先度</t>
  </si>
  <si>
    <t>SMPDT</t>
  </si>
  <si>
    <t>サンプル採取日</t>
  </si>
  <si>
    <t>REQDT</t>
  </si>
  <si>
    <t>依頼時刻</t>
  </si>
  <si>
    <t>REQAFFCD (AFFCD)</t>
  </si>
  <si>
    <t>依頼部門</t>
  </si>
  <si>
    <t>REQUSRCD (USRCD)</t>
  </si>
  <si>
    <t>依頼者</t>
  </si>
  <si>
    <t>REGDT</t>
  </si>
  <si>
    <t>受付時刻</t>
  </si>
  <si>
    <t>REGUSRCD (USRCD)</t>
  </si>
  <si>
    <t>受付者</t>
  </si>
  <si>
    <t>APRDT</t>
  </si>
  <si>
    <t>承認時刻</t>
  </si>
  <si>
    <t>APRUSRCD (USRCD)</t>
  </si>
  <si>
    <t>承認者</t>
  </si>
  <si>
    <t>KEEPDT</t>
  </si>
  <si>
    <t>保存期限</t>
  </si>
  <si>
    <t>SPCCD</t>
  </si>
  <si>
    <t>規格コード</t>
  </si>
  <si>
    <t>SPCDT</t>
  </si>
  <si>
    <t>規格適用開始日</t>
  </si>
  <si>
    <t>OFFSPCF</t>
  </si>
  <si>
    <t>規格はずれフラグ</t>
  </si>
  <si>
    <t>CUSCD</t>
  </si>
  <si>
    <t>顧客コード</t>
  </si>
  <si>
    <t>CSPCCD (SPCCD)</t>
  </si>
  <si>
    <t>顧客規格コード</t>
  </si>
  <si>
    <t>CSPCDT (SPCDT)</t>
  </si>
  <si>
    <t>顧客規格適用開始日</t>
  </si>
  <si>
    <t>PRTCD</t>
  </si>
  <si>
    <t>プロトコルコード</t>
  </si>
  <si>
    <t>PRICE</t>
  </si>
  <si>
    <t>料金</t>
  </si>
  <si>
    <t>AUTCD</t>
  </si>
  <si>
    <t>自動化コード</t>
  </si>
  <si>
    <t>SNDCD</t>
  </si>
  <si>
    <t>送信先コード</t>
  </si>
  <si>
    <t>SMPATTR</t>
  </si>
  <si>
    <t>サンプル属性</t>
  </si>
  <si>
    <t>SMPATTRX</t>
  </si>
  <si>
    <t>サンプル属性Ｘ</t>
  </si>
  <si>
    <t>SMPINF01</t>
  </si>
  <si>
    <t>SMPINF02</t>
  </si>
  <si>
    <t>SMPINF03</t>
  </si>
  <si>
    <t>SMPINF04</t>
  </si>
  <si>
    <t>SMPINF05</t>
  </si>
  <si>
    <t>SMPINF06</t>
  </si>
  <si>
    <t>SMPINF07</t>
  </si>
  <si>
    <t>SMPINF08</t>
  </si>
  <si>
    <t>SMPINF09</t>
  </si>
  <si>
    <t>SMPINF10</t>
  </si>
  <si>
    <t>SMPINF11</t>
  </si>
  <si>
    <t>SMPINF12</t>
  </si>
  <si>
    <t>SMPINF13</t>
  </si>
  <si>
    <t>SMPINF14</t>
  </si>
  <si>
    <t>SMPINF15</t>
  </si>
  <si>
    <t>SMPINF16</t>
  </si>
  <si>
    <t>SMPINF17</t>
  </si>
  <si>
    <t>SMPINF18</t>
  </si>
  <si>
    <t>SMPINF19</t>
  </si>
  <si>
    <t>SMPINF20</t>
  </si>
  <si>
    <t>SMPINF21</t>
  </si>
  <si>
    <t>SMPINF22</t>
  </si>
  <si>
    <t>SMPINF23</t>
  </si>
  <si>
    <t>SMPINF24</t>
  </si>
  <si>
    <t>SMPINF25</t>
  </si>
  <si>
    <t>SMPINF26</t>
  </si>
  <si>
    <t>SMPINF27</t>
  </si>
  <si>
    <t>SMPINF28</t>
  </si>
  <si>
    <t>SMPINF29</t>
  </si>
  <si>
    <t>SMPINF30</t>
  </si>
  <si>
    <t>SMPINF31</t>
  </si>
  <si>
    <t>SMPINF32</t>
  </si>
  <si>
    <t>SMPINF33</t>
  </si>
  <si>
    <t>SMPINF34</t>
  </si>
  <si>
    <t>SMPINF35</t>
  </si>
  <si>
    <t>SMPINF36</t>
  </si>
  <si>
    <t>SMPINF37</t>
  </si>
  <si>
    <t>SMPINF41</t>
  </si>
  <si>
    <t>SMPINF43</t>
  </si>
  <si>
    <t>SMPINF45</t>
  </si>
  <si>
    <t>SMPINF46</t>
  </si>
  <si>
    <t>SMPINF47</t>
  </si>
  <si>
    <t>SMPINF48</t>
  </si>
  <si>
    <t>SMPINF49</t>
  </si>
  <si>
    <t>SMPINF50</t>
  </si>
  <si>
    <t>SMPINF51</t>
  </si>
  <si>
    <t>SMPINF52</t>
  </si>
  <si>
    <t>SMPINF53</t>
  </si>
  <si>
    <t>SMPINF54</t>
  </si>
  <si>
    <t>SMPINF55</t>
  </si>
  <si>
    <t>SMPINFX01</t>
  </si>
  <si>
    <t>総合判定者</t>
  </si>
  <si>
    <t>SMPINFX02</t>
  </si>
  <si>
    <t>総合判定時刻</t>
  </si>
  <si>
    <t>SMPINFX03</t>
  </si>
  <si>
    <t>総合判定結果</t>
  </si>
  <si>
    <t>SMPINFX04</t>
  </si>
  <si>
    <t>クロマト分析コード</t>
  </si>
  <si>
    <t>SMPINFX05</t>
  </si>
  <si>
    <t>クロマト分析名</t>
  </si>
  <si>
    <t>SMPINFX06</t>
  </si>
  <si>
    <t>ＯＯＳフラグ</t>
  </si>
  <si>
    <t>SMPINFX07</t>
  </si>
  <si>
    <t>ＯＯＳ中止者</t>
  </si>
  <si>
    <t>SMPINFX08</t>
  </si>
  <si>
    <t>ＯＯＳ中止時刻</t>
  </si>
  <si>
    <t>USRUPD (USRCD)</t>
  </si>
  <si>
    <t>最終更新者</t>
  </si>
  <si>
    <t>DTUPD (UPDDT)</t>
  </si>
  <si>
    <t>最終更新時刻</t>
  </si>
  <si>
    <t>テーブル</t>
    <phoneticPr fontId="13"/>
  </si>
  <si>
    <t>サンプルトラン</t>
    <phoneticPr fontId="13"/>
  </si>
  <si>
    <t>No.</t>
    <phoneticPr fontId="13"/>
  </si>
  <si>
    <t>HLDCD</t>
  </si>
  <si>
    <t>ホルダコード</t>
  </si>
  <si>
    <t>HLDNM</t>
  </si>
  <si>
    <t>ホルダ名</t>
  </si>
  <si>
    <t>HLDNO</t>
  </si>
  <si>
    <t>ホルダ番号</t>
  </si>
  <si>
    <t>HLDLOCK</t>
  </si>
  <si>
    <t>ホルダロック</t>
  </si>
  <si>
    <t>HLDPRTY</t>
  </si>
  <si>
    <t>ホルダ優先度</t>
  </si>
  <si>
    <t>CONDT</t>
  </si>
  <si>
    <t>確認時刻</t>
  </si>
  <si>
    <t>CONUSRCD (USRCD)</t>
  </si>
  <si>
    <t>確認者</t>
  </si>
  <si>
    <t>HLDATTR</t>
  </si>
  <si>
    <t>ホルダ属性</t>
  </si>
  <si>
    <t>HLDATTRX</t>
  </si>
  <si>
    <t>ホルダ属性Ｘ</t>
  </si>
  <si>
    <t>HLDINF01</t>
  </si>
  <si>
    <t>HLDINF02</t>
  </si>
  <si>
    <t>HLDINF03</t>
  </si>
  <si>
    <t>HLDINF04</t>
  </si>
  <si>
    <t>HLDINF05</t>
  </si>
  <si>
    <t>HLDINF10</t>
  </si>
  <si>
    <t>HLDINF13</t>
  </si>
  <si>
    <t>HLDINF14</t>
  </si>
  <si>
    <t>HLDINF15</t>
  </si>
  <si>
    <t>HLDINF16</t>
  </si>
  <si>
    <t>HLDINF18</t>
  </si>
  <si>
    <t>HLDINFX01</t>
  </si>
  <si>
    <t>担当者</t>
  </si>
  <si>
    <t>HLDINFX02</t>
  </si>
  <si>
    <t>レポートコード</t>
  </si>
  <si>
    <t>HLDINFX03</t>
  </si>
  <si>
    <t>指図者</t>
  </si>
  <si>
    <t>HLDINFX04</t>
  </si>
  <si>
    <t>指図時刻</t>
  </si>
  <si>
    <t>HLDINFX05</t>
  </si>
  <si>
    <t>HLDINFX06</t>
  </si>
  <si>
    <t>ＯＯＳ再試験実行者</t>
  </si>
  <si>
    <t>HLDINFX07</t>
  </si>
  <si>
    <t>ＯＯＳ再試験実行時刻</t>
  </si>
  <si>
    <t>TSTCD</t>
  </si>
  <si>
    <t>試験項目コード</t>
  </si>
  <si>
    <t>UNTCD</t>
  </si>
  <si>
    <t>単位コード</t>
  </si>
  <si>
    <t>TSTNM</t>
  </si>
  <si>
    <t>試験項目名</t>
  </si>
  <si>
    <t>TSTNO</t>
  </si>
  <si>
    <t>試験項目番号</t>
  </si>
  <si>
    <t>DATCNT</t>
  </si>
  <si>
    <t>データ数</t>
  </si>
  <si>
    <t>TSTDT0 (TSTDT)</t>
  </si>
  <si>
    <t>試験開始時刻</t>
  </si>
  <si>
    <t>TSTDT1 (TSTDT)</t>
  </si>
  <si>
    <t>試験終了時刻</t>
  </si>
  <si>
    <t>TSTUSRCD (USRCD)</t>
  </si>
  <si>
    <t>試験者</t>
  </si>
  <si>
    <t>DATSRC0 (DATSRC)</t>
  </si>
  <si>
    <t>データソース（指定）</t>
  </si>
  <si>
    <t>RECKEY1_ (RECKEY)</t>
  </si>
  <si>
    <t>キー１（指定）</t>
  </si>
  <si>
    <t>RECKEY2_ (RECKEY)</t>
  </si>
  <si>
    <t>キー２（指定）</t>
  </si>
  <si>
    <t>RECKEY3_ (RECKEY)</t>
  </si>
  <si>
    <t>キー３（指定）</t>
  </si>
  <si>
    <t>RECKEY4_ (RECKEY)</t>
  </si>
  <si>
    <t>キー４（指定）</t>
  </si>
  <si>
    <t>DATSRC</t>
  </si>
  <si>
    <t>データソース</t>
  </si>
  <si>
    <t>RECKEY1 (RECKEY)</t>
  </si>
  <si>
    <t>キー１</t>
  </si>
  <si>
    <t>RECKEY2 (RECKEY)</t>
  </si>
  <si>
    <t>キー２</t>
  </si>
  <si>
    <t>RECKEY3 (RECKEY)</t>
  </si>
  <si>
    <t>キー３</t>
  </si>
  <si>
    <t>RECKEY4 (RECKEY)</t>
  </si>
  <si>
    <t>キー４</t>
  </si>
  <si>
    <t>DAT0</t>
  </si>
  <si>
    <t>データ（生データ）</t>
  </si>
  <si>
    <t>DAT1</t>
  </si>
  <si>
    <t>データ（編集後）</t>
  </si>
  <si>
    <t>DAT2</t>
  </si>
  <si>
    <t>データ（報告用）</t>
  </si>
  <si>
    <t>LMTF</t>
  </si>
  <si>
    <t>定量限界フラグ</t>
  </si>
  <si>
    <t>RATCD</t>
  </si>
  <si>
    <t>等級コード</t>
  </si>
  <si>
    <t>DATB1 (DAT2)</t>
  </si>
  <si>
    <t>前回値１</t>
  </si>
  <si>
    <t>DATB2 (DAT2)</t>
  </si>
  <si>
    <t>前回値２</t>
  </si>
  <si>
    <t>DATB3 (DAT2)</t>
  </si>
  <si>
    <t>前回値３</t>
  </si>
  <si>
    <t>DATB4 (DAT2)</t>
  </si>
  <si>
    <t>前回値４</t>
  </si>
  <si>
    <t>DATB5 (DAT2)</t>
  </si>
  <si>
    <t>前回値５</t>
  </si>
  <si>
    <t>LMTFB1 (LMTF)</t>
  </si>
  <si>
    <t>前回定量限界フラグ１</t>
  </si>
  <si>
    <t>LMTFB2 (LMTF)</t>
  </si>
  <si>
    <t>前回定量限界フラグ２</t>
  </si>
  <si>
    <t>LMTFB3 (LMTF)</t>
  </si>
  <si>
    <t>前回定量限界フラグ３</t>
  </si>
  <si>
    <t>LMTFB4 (LMTF)</t>
  </si>
  <si>
    <t>前回定量限界フラグ４</t>
  </si>
  <si>
    <t>LMTFB5 (LMTF)</t>
  </si>
  <si>
    <t>前回定量限界フラグ５</t>
  </si>
  <si>
    <t>DATTYP</t>
  </si>
  <si>
    <t>データタイプ</t>
  </si>
  <si>
    <t>DATLEN</t>
  </si>
  <si>
    <t>データ長</t>
  </si>
  <si>
    <t>EDTF</t>
  </si>
  <si>
    <t>編集方法フラグ</t>
  </si>
  <si>
    <t>RNDF</t>
  </si>
  <si>
    <t>丸め方法フラグ</t>
  </si>
  <si>
    <t>RNDINT</t>
  </si>
  <si>
    <t>丸め単位</t>
  </si>
  <si>
    <t>EXPCDR (EXPCD)</t>
  </si>
  <si>
    <t>丸め計算式</t>
  </si>
  <si>
    <t>LL (LMT)</t>
  </si>
  <si>
    <t>下限値（定量限界）</t>
  </si>
  <si>
    <t>UL (LMT)</t>
  </si>
  <si>
    <t>上限値（定量限界）</t>
  </si>
  <si>
    <t>LL1 (LMT)</t>
  </si>
  <si>
    <t>下限値（規格1）</t>
  </si>
  <si>
    <t>UL1 (LMT)</t>
  </si>
  <si>
    <t>上限値（規格1)</t>
  </si>
  <si>
    <t>LL2 (LMT)</t>
  </si>
  <si>
    <t>下限値（規格2）</t>
  </si>
  <si>
    <t>UL2 (LMT)</t>
  </si>
  <si>
    <t>上限値（規格2)</t>
  </si>
  <si>
    <t>LL3 (LMT)</t>
  </si>
  <si>
    <t>下限値（規格3）</t>
  </si>
  <si>
    <t>UL3 (LMT)</t>
  </si>
  <si>
    <t>上限値（規格3)</t>
  </si>
  <si>
    <t>LL4 (LMT)</t>
  </si>
  <si>
    <t>下限値（規格4）</t>
  </si>
  <si>
    <t>UL4 (LMT)</t>
  </si>
  <si>
    <t>上限値（規格4)</t>
  </si>
  <si>
    <t>BOUNDFL (BOUNDF)</t>
  </si>
  <si>
    <t>下限値境界フラグ</t>
  </si>
  <si>
    <t>BOUNDFU (BOUNDF)</t>
  </si>
  <si>
    <t>上限値境界フラグ</t>
  </si>
  <si>
    <t>DATCHKF</t>
  </si>
  <si>
    <t>データチェック方法</t>
  </si>
  <si>
    <t>TSTATTR</t>
  </si>
  <si>
    <t>試験項目属性</t>
  </si>
  <si>
    <t>TSTATTRX</t>
  </si>
  <si>
    <t>試験項目属性Ｘ</t>
  </si>
  <si>
    <t>TSTINF01</t>
  </si>
  <si>
    <t>TSTINF02</t>
  </si>
  <si>
    <t>TSTINF03</t>
  </si>
  <si>
    <t>TSTINF04</t>
  </si>
  <si>
    <t>TSTINF05</t>
  </si>
  <si>
    <t>TSTINF07</t>
  </si>
  <si>
    <t>TSTINF12</t>
  </si>
  <si>
    <t>TSTINF14</t>
  </si>
  <si>
    <t>TSTINF15</t>
  </si>
  <si>
    <t>TSTINF16</t>
  </si>
  <si>
    <t>TSTINF17</t>
  </si>
  <si>
    <t>TSTINF18</t>
  </si>
  <si>
    <t>TSTINF19</t>
  </si>
  <si>
    <t>TSTINF20</t>
  </si>
  <si>
    <t>TSTINFX01</t>
  </si>
  <si>
    <t>識別番号</t>
  </si>
  <si>
    <t>TSTINFX02</t>
  </si>
  <si>
    <t>データ（生データ）（ＯＯＳ）</t>
  </si>
  <si>
    <t>TSTINFX03</t>
  </si>
  <si>
    <t>データソース（ＯＯＳ）</t>
  </si>
  <si>
    <t>TSTINFX04</t>
  </si>
  <si>
    <t>キー１（ＯＯＳ）</t>
  </si>
  <si>
    <t>TSTINFX05</t>
  </si>
  <si>
    <t>キー２（ＯＯＳ）</t>
  </si>
  <si>
    <t>TSTINFX06</t>
  </si>
  <si>
    <t>キー３（ＯＯＳ）</t>
  </si>
  <si>
    <t>TSTINFX07</t>
  </si>
  <si>
    <t>キー４（ＯＯＳ）</t>
  </si>
  <si>
    <t>TSTINFX08</t>
  </si>
  <si>
    <t>データソース（指定）（ＯＯＳ）</t>
  </si>
  <si>
    <t>TSTINFX09</t>
  </si>
  <si>
    <t>ＯＯＳ再試験対象フラグ</t>
  </si>
  <si>
    <t>SDATL (SDAT)</t>
  </si>
  <si>
    <t>下限規格文字</t>
  </si>
  <si>
    <t>SDATU (SDAT)</t>
  </si>
  <si>
    <t>上限規格文字</t>
  </si>
  <si>
    <t>SPCINF01</t>
  </si>
  <si>
    <t>ランク判定値１</t>
  </si>
  <si>
    <t>SPCINF02</t>
  </si>
  <si>
    <t>ランク判定値２</t>
  </si>
  <si>
    <t>SPCINF03</t>
  </si>
  <si>
    <t>ランク判定値３</t>
  </si>
  <si>
    <t>SPCINF04</t>
  </si>
  <si>
    <t>ランク判定値４</t>
  </si>
  <si>
    <t>SPCINF05</t>
  </si>
  <si>
    <t>ランク判定値５</t>
  </si>
  <si>
    <t>SPCINF06</t>
  </si>
  <si>
    <t>ランク判定値６</t>
  </si>
  <si>
    <t>SPCINF09</t>
  </si>
  <si>
    <t>管理目標値</t>
  </si>
  <si>
    <t>SPCINF10</t>
  </si>
  <si>
    <t>推定値</t>
  </si>
  <si>
    <t>JOB番号（報告書番号１）</t>
  </si>
  <si>
    <t>JOB枝番号（報告書番号２）</t>
  </si>
  <si>
    <t>作業番号</t>
  </si>
  <si>
    <t>契約先名</t>
  </si>
  <si>
    <t>測定項目情報</t>
  </si>
  <si>
    <t>納入先名</t>
  </si>
  <si>
    <t>案件名</t>
  </si>
  <si>
    <t>報告書宛先１</t>
  </si>
  <si>
    <t>報告書宛先２</t>
  </si>
  <si>
    <t>報告書宛名</t>
  </si>
  <si>
    <t>採取場所名</t>
  </si>
  <si>
    <t>試料名/施設名</t>
  </si>
  <si>
    <t>測定点記号</t>
  </si>
  <si>
    <t>水温</t>
  </si>
  <si>
    <t>試料区分</t>
  </si>
  <si>
    <t>当日天候</t>
  </si>
  <si>
    <t>採取者・測定者</t>
  </si>
  <si>
    <t>試料の種類</t>
  </si>
  <si>
    <t>測定機関</t>
  </si>
  <si>
    <t>測定月日</t>
  </si>
  <si>
    <t>煙道断面積</t>
  </si>
  <si>
    <t>ｻﾝﾌﾟﾘﾝｸﾞ日付1</t>
  </si>
  <si>
    <t>ｻﾝﾌﾟﾘﾝｸﾞ日付2</t>
  </si>
  <si>
    <t>ｻﾝﾌﾟﾘﾝｸﾞ日付3</t>
  </si>
  <si>
    <t>報告書発行日</t>
  </si>
  <si>
    <t>レポート名（結果書名）</t>
  </si>
  <si>
    <t>報告書備考</t>
  </si>
  <si>
    <t>会社コード（出光）</t>
  </si>
  <si>
    <t>担当部署</t>
  </si>
  <si>
    <t>分類</t>
  </si>
  <si>
    <t>所要時間</t>
  </si>
  <si>
    <t>種目</t>
  </si>
  <si>
    <t>採取時間(上段)S1</t>
  </si>
  <si>
    <t>採取時間(上段)S2</t>
  </si>
  <si>
    <t>採取時間(下段)S1</t>
  </si>
  <si>
    <t>採取時間(下段)S2</t>
  </si>
  <si>
    <t>関係部署</t>
  </si>
  <si>
    <t>採取量</t>
  </si>
  <si>
    <t>作）報告書宛先１</t>
  </si>
  <si>
    <t>作）報告書宛先２</t>
  </si>
  <si>
    <t>作）報告書宛先３</t>
  </si>
  <si>
    <t>作）報告書発行日</t>
  </si>
  <si>
    <t>作）測定部署</t>
  </si>
  <si>
    <t>作）測定部署：所在地</t>
  </si>
  <si>
    <t>作）単位作業場所名称</t>
  </si>
  <si>
    <t>ＣＯＤ希釈度合</t>
  </si>
  <si>
    <t>ＮＯ３－Ｎ希釈度合</t>
  </si>
  <si>
    <t>Ｔ－Ｎ希釈率</t>
  </si>
  <si>
    <t>Ｔ－Ｐ希釈率</t>
  </si>
  <si>
    <t>SMPINFX09</t>
  </si>
  <si>
    <t>サンプル情報X０９</t>
  </si>
  <si>
    <t>SMPINFX10</t>
  </si>
  <si>
    <t>サンプル情報X１０</t>
  </si>
  <si>
    <t>SMPINFX11</t>
  </si>
  <si>
    <t>サンプル情報X１１</t>
  </si>
  <si>
    <t>測定方法</t>
  </si>
  <si>
    <t>検査方法</t>
  </si>
  <si>
    <t>測定機器</t>
  </si>
  <si>
    <t>分析開始までの日数</t>
  </si>
  <si>
    <t>分析項目</t>
  </si>
  <si>
    <t>原価</t>
  </si>
  <si>
    <t>定量下限値</t>
  </si>
  <si>
    <t>管理濃度</t>
  </si>
  <si>
    <t>報告書保存年数</t>
  </si>
  <si>
    <t>有機溶剤tの値</t>
  </si>
  <si>
    <t>大気報告書項目</t>
  </si>
  <si>
    <t>丸め少数桁</t>
  </si>
  <si>
    <t>下限値表示文字</t>
  </si>
  <si>
    <t>規制値</t>
  </si>
  <si>
    <t>管理値</t>
  </si>
  <si>
    <t>酸素換算値</t>
  </si>
  <si>
    <t>報告フラグ</t>
  </si>
  <si>
    <t>排出規制量判定</t>
  </si>
  <si>
    <t>計量証明書タイトル</t>
  </si>
  <si>
    <t>管理濃度集計関数フラグ</t>
  </si>
  <si>
    <t>測定物質集計関数フラグ</t>
  </si>
  <si>
    <t>Ｂ測定C/E集計関数フラグ</t>
  </si>
  <si>
    <t>Ａ測定C/E集計関数フラグ</t>
  </si>
  <si>
    <t>大気報告書小見出し</t>
  </si>
  <si>
    <t>報告書対象</t>
  </si>
  <si>
    <t>ホルダトラン</t>
    <phoneticPr fontId="13"/>
  </si>
  <si>
    <t>試験項目トラン</t>
    <rPh sb="0" eb="4">
      <t>シケンコウモク</t>
    </rPh>
    <phoneticPr fontId="13"/>
  </si>
  <si>
    <t>S</t>
    <phoneticPr fontId="13"/>
  </si>
  <si>
    <t>H</t>
    <phoneticPr fontId="13"/>
  </si>
  <si>
    <t>T</t>
    <phoneticPr fontId="13"/>
  </si>
  <si>
    <t>参照用キー</t>
    <rPh sb="0" eb="3">
      <t>サンショウヨウ</t>
    </rPh>
    <phoneticPr fontId="13"/>
  </si>
  <si>
    <t>S.依頼番号</t>
  </si>
  <si>
    <t>S.状態</t>
  </si>
  <si>
    <t>S.拡張状態</t>
  </si>
  <si>
    <t>S.サンプルグループコード</t>
  </si>
  <si>
    <t>S.サンプルグループ名</t>
  </si>
  <si>
    <t>S.サンプルコード</t>
  </si>
  <si>
    <t>S.サンプル名</t>
  </si>
  <si>
    <t>S.サンプル番号</t>
  </si>
  <si>
    <t>S.サンプルロック</t>
  </si>
  <si>
    <t>S.サンプル優先度</t>
  </si>
  <si>
    <t>S.サンプル採取日</t>
  </si>
  <si>
    <t>S.依頼時刻</t>
  </si>
  <si>
    <t>S.依頼部門</t>
  </si>
  <si>
    <t>S.依頼者</t>
  </si>
  <si>
    <t>S.受付時刻</t>
  </si>
  <si>
    <t>S.受付者</t>
  </si>
  <si>
    <t>S.承認時刻</t>
  </si>
  <si>
    <t>S.承認者</t>
  </si>
  <si>
    <t>S.保存期限</t>
  </si>
  <si>
    <t>S.規格コード</t>
  </si>
  <si>
    <t>S.規格適用開始日</t>
  </si>
  <si>
    <t>S.規格はずれフラグ</t>
  </si>
  <si>
    <t>S.顧客コード</t>
  </si>
  <si>
    <t>S.顧客規格コード</t>
  </si>
  <si>
    <t>S.顧客規格適用開始日</t>
  </si>
  <si>
    <t>S.プロトコルコード</t>
  </si>
  <si>
    <t>S.料金</t>
  </si>
  <si>
    <t>S.自動化コード</t>
  </si>
  <si>
    <t>S.送信先コード</t>
  </si>
  <si>
    <t>S.サンプル属性</t>
  </si>
  <si>
    <t>S.サンプル属性Ｘ</t>
  </si>
  <si>
    <t>S.JOB番号（報告書番号１）</t>
  </si>
  <si>
    <t>S.JOB枝番号（報告書番号２）</t>
  </si>
  <si>
    <t>S.作業番号</t>
  </si>
  <si>
    <t>S.契約先名</t>
  </si>
  <si>
    <t>S.測定項目情報</t>
  </si>
  <si>
    <t>S.納入先名</t>
  </si>
  <si>
    <t>S.案件名</t>
  </si>
  <si>
    <t>S.報告書宛先１</t>
  </si>
  <si>
    <t>S.報告書宛先２</t>
  </si>
  <si>
    <t>S.報告書宛名</t>
  </si>
  <si>
    <t>S.採取場所名</t>
  </si>
  <si>
    <t>S.試料名/施設名</t>
  </si>
  <si>
    <t>S.測定点記号</t>
  </si>
  <si>
    <t>S.気温</t>
  </si>
  <si>
    <t>S.水温</t>
  </si>
  <si>
    <t>S.試料区分</t>
  </si>
  <si>
    <t>S.当日天候</t>
  </si>
  <si>
    <t>S.採取者・測定者</t>
  </si>
  <si>
    <t>S.試料の種類</t>
  </si>
  <si>
    <t>S.測定機関</t>
  </si>
  <si>
    <t>S.測定月日</t>
  </si>
  <si>
    <t>S.煙道断面積</t>
  </si>
  <si>
    <t>S.ｻﾝﾌﾟﾘﾝｸﾞ日付1</t>
  </si>
  <si>
    <t>S.ｻﾝﾌﾟﾘﾝｸﾞ日付2</t>
  </si>
  <si>
    <t>S.ｻﾝﾌﾟﾘﾝｸﾞ日付3</t>
  </si>
  <si>
    <t>S.報告書発行日</t>
  </si>
  <si>
    <t>S.レポート名（結果書名）</t>
  </si>
  <si>
    <t>S.報告書備考</t>
  </si>
  <si>
    <t>S.会社コード（出光）</t>
  </si>
  <si>
    <t>S.担当部署</t>
  </si>
  <si>
    <t>S.分類</t>
  </si>
  <si>
    <t>S.所要時間</t>
  </si>
  <si>
    <t>S.種目</t>
  </si>
  <si>
    <t>S.採取時間(上段)S1</t>
  </si>
  <si>
    <t>S.採取時間(上段)S2</t>
  </si>
  <si>
    <t>S.採取時間(下段)S1</t>
  </si>
  <si>
    <t>S.採取時間(下段)S2</t>
  </si>
  <si>
    <t>S.関係部署</t>
  </si>
  <si>
    <t>S.採取量</t>
  </si>
  <si>
    <t>S.作）報告書宛先１</t>
  </si>
  <si>
    <t>S.作）報告書宛先２</t>
  </si>
  <si>
    <t>S.作）報告書宛先３</t>
  </si>
  <si>
    <t>S.作）報告書発行日</t>
  </si>
  <si>
    <t>S.作）測定部署</t>
  </si>
  <si>
    <t>S.作）測定部署：所在地</t>
  </si>
  <si>
    <t>S.作）単位作業場所名称</t>
  </si>
  <si>
    <t>S.ＣＯＤ希釈度合</t>
  </si>
  <si>
    <t>S.ＮＯ３－Ｎ希釈度合</t>
  </si>
  <si>
    <t>S.Ｔ－Ｎ希釈率</t>
  </si>
  <si>
    <t>S.Ｔ－Ｐ希釈率</t>
  </si>
  <si>
    <t>S.総合判定者</t>
  </si>
  <si>
    <t>S.総合判定時刻</t>
  </si>
  <si>
    <t>S.総合判定結果</t>
  </si>
  <si>
    <t>S.クロマト分析コード</t>
  </si>
  <si>
    <t>S.クロマト分析名</t>
  </si>
  <si>
    <t>S.ＯＯＳフラグ</t>
  </si>
  <si>
    <t>S.ＯＯＳ中止者</t>
  </si>
  <si>
    <t>S.ＯＯＳ中止時刻</t>
  </si>
  <si>
    <t>S.サンプル情報X０９</t>
  </si>
  <si>
    <t>S.サンプル情報X１０</t>
  </si>
  <si>
    <t>S.サンプル情報X１１</t>
  </si>
  <si>
    <t>S.最終更新者</t>
  </si>
  <si>
    <t>S.最終更新時刻</t>
  </si>
  <si>
    <t>H.依頼番号</t>
  </si>
  <si>
    <t>H.ホルダコード</t>
  </si>
  <si>
    <t>H.状態</t>
  </si>
  <si>
    <t>H.サンプルロック</t>
  </si>
  <si>
    <t>H.ホルダ名</t>
  </si>
  <si>
    <t>H.ホルダ番号</t>
  </si>
  <si>
    <t>H.ホルダロック</t>
  </si>
  <si>
    <t>H.ホルダ優先度</t>
  </si>
  <si>
    <t>H.確認時刻</t>
  </si>
  <si>
    <t>H.確認者</t>
  </si>
  <si>
    <t>H.規格はずれフラグ</t>
  </si>
  <si>
    <t>H.料金</t>
  </si>
  <si>
    <t>H.自動化コード</t>
  </si>
  <si>
    <t>H.ホルダ属性</t>
  </si>
  <si>
    <t>H.ホルダ属性Ｘ</t>
  </si>
  <si>
    <t>H.測定方法</t>
  </si>
  <si>
    <t>H.検査方法</t>
  </si>
  <si>
    <t>H.測定機器</t>
  </si>
  <si>
    <t>H.分析開始までの日数</t>
  </si>
  <si>
    <t>H.分析項目</t>
  </si>
  <si>
    <t>H.原価</t>
  </si>
  <si>
    <t>H.定量下限値</t>
  </si>
  <si>
    <t>H.管理濃度</t>
  </si>
  <si>
    <t>H.報告書保存年数</t>
  </si>
  <si>
    <t>H.有機溶剤tの値</t>
  </si>
  <si>
    <t>H.大気報告書項目</t>
  </si>
  <si>
    <t>H.担当者</t>
  </si>
  <si>
    <t>H.レポートコード</t>
  </si>
  <si>
    <t>H.指図者</t>
  </si>
  <si>
    <t>H.指図時刻</t>
  </si>
  <si>
    <t>H.ＯＯＳフラグ</t>
  </si>
  <si>
    <t>H.ＯＯＳ再試験実行者</t>
  </si>
  <si>
    <t>H.ＯＯＳ再試験実行時刻</t>
  </si>
  <si>
    <t>H.最終更新者</t>
  </si>
  <si>
    <t>H.最終更新時刻</t>
  </si>
  <si>
    <t>T.依頼番号</t>
  </si>
  <si>
    <t>T.ホルダコード</t>
  </si>
  <si>
    <t>T.試験項目コード</t>
  </si>
  <si>
    <t>T.単位コード</t>
  </si>
  <si>
    <t>T.状態</t>
  </si>
  <si>
    <t>T.サンプルロック</t>
  </si>
  <si>
    <t>T.ホルダ番号</t>
  </si>
  <si>
    <t>T.ホルダロック</t>
  </si>
  <si>
    <t>T.試験項目名</t>
  </si>
  <si>
    <t>T.試験項目番号</t>
  </si>
  <si>
    <t>T.データ数</t>
  </si>
  <si>
    <t>T.試験開始時刻</t>
  </si>
  <si>
    <t>T.試験終了時刻</t>
  </si>
  <si>
    <t>T.試験者</t>
  </si>
  <si>
    <t>T.データソース（指定）</t>
  </si>
  <si>
    <t>T.キー１（指定）</t>
  </si>
  <si>
    <t>T.キー２（指定）</t>
  </si>
  <si>
    <t>T.キー３（指定）</t>
  </si>
  <si>
    <t>T.キー４（指定）</t>
  </si>
  <si>
    <t>T.データソース</t>
  </si>
  <si>
    <t>T.キー１</t>
  </si>
  <si>
    <t>T.キー２</t>
  </si>
  <si>
    <t>T.キー３</t>
  </si>
  <si>
    <t>T.キー４</t>
  </si>
  <si>
    <t>T.データ（生データ）</t>
  </si>
  <si>
    <t>T.データ（編集後）</t>
  </si>
  <si>
    <t>T.データ（報告用）</t>
  </si>
  <si>
    <t>T.定量限界フラグ</t>
  </si>
  <si>
    <t>T.等級コード</t>
  </si>
  <si>
    <t>T.前回値１</t>
  </si>
  <si>
    <t>T.前回値２</t>
  </si>
  <si>
    <t>T.前回値３</t>
  </si>
  <si>
    <t>T.前回値４</t>
  </si>
  <si>
    <t>T.前回値５</t>
  </si>
  <si>
    <t>T.前回定量限界フラグ１</t>
  </si>
  <si>
    <t>T.前回定量限界フラグ２</t>
  </si>
  <si>
    <t>T.前回定量限界フラグ３</t>
  </si>
  <si>
    <t>T.前回定量限界フラグ４</t>
  </si>
  <si>
    <t>T.前回定量限界フラグ５</t>
  </si>
  <si>
    <t>T.データタイプ</t>
  </si>
  <si>
    <t>T.データ長</t>
  </si>
  <si>
    <t>T.編集方法フラグ</t>
  </si>
  <si>
    <t>T.丸め方法フラグ</t>
  </si>
  <si>
    <t>T.丸め単位</t>
  </si>
  <si>
    <t>T.丸め計算式</t>
  </si>
  <si>
    <t>T.下限値（定量限界）</t>
  </si>
  <si>
    <t>T.上限値（定量限界）</t>
  </si>
  <si>
    <t>T.下限値（規格1）</t>
  </si>
  <si>
    <t>T.上限値（規格1)</t>
  </si>
  <si>
    <t>T.下限値（規格2）</t>
  </si>
  <si>
    <t>T.上限値（規格2)</t>
  </si>
  <si>
    <t>T.下限値（規格3）</t>
  </si>
  <si>
    <t>T.上限値（規格3)</t>
  </si>
  <si>
    <t>T.下限値（規格4）</t>
  </si>
  <si>
    <t>T.上限値（規格4)</t>
  </si>
  <si>
    <t>T.下限値境界フラグ</t>
  </si>
  <si>
    <t>T.上限値境界フラグ</t>
  </si>
  <si>
    <t>T.データチェック方法</t>
  </si>
  <si>
    <t>T.試験項目属性</t>
  </si>
  <si>
    <t>T.試験項目属性Ｘ</t>
  </si>
  <si>
    <t>T.丸め少数桁</t>
  </si>
  <si>
    <t>T.下限値表示文字</t>
  </si>
  <si>
    <t>T.規制値</t>
  </si>
  <si>
    <t>T.管理値</t>
  </si>
  <si>
    <t>T.酸素換算値</t>
  </si>
  <si>
    <t>T.報告フラグ</t>
  </si>
  <si>
    <t>T.排出規制量判定</t>
  </si>
  <si>
    <t>T.計量証明書タイトル</t>
  </si>
  <si>
    <t>T.管理濃度集計関数フラグ</t>
  </si>
  <si>
    <t>T.測定物質集計関数フラグ</t>
  </si>
  <si>
    <t>T.Ｂ測定C/E集計関数フラグ</t>
  </si>
  <si>
    <t>T.Ａ測定C/E集計関数フラグ</t>
  </si>
  <si>
    <t>T.大気報告書小見出し</t>
  </si>
  <si>
    <t>T.報告書対象</t>
  </si>
  <si>
    <t>T.識別番号</t>
  </si>
  <si>
    <t>T.データ（生データ）（ＯＯＳ）</t>
  </si>
  <si>
    <t>T.データソース（ＯＯＳ）</t>
  </si>
  <si>
    <t>T.キー１（ＯＯＳ）</t>
  </si>
  <si>
    <t>T.キー２（ＯＯＳ）</t>
  </si>
  <si>
    <t>T.キー３（ＯＯＳ）</t>
  </si>
  <si>
    <t>T.キー４（ＯＯＳ）</t>
  </si>
  <si>
    <t>T.データソース（指定）（ＯＯＳ）</t>
  </si>
  <si>
    <t>T.ＯＯＳ再試験対象フラグ</t>
  </si>
  <si>
    <t>T.下限規格文字</t>
  </si>
  <si>
    <t>T.上限規格文字</t>
  </si>
  <si>
    <t>T.ランク判定値１</t>
  </si>
  <si>
    <t>T.ランク判定値２</t>
  </si>
  <si>
    <t>T.ランク判定値３</t>
  </si>
  <si>
    <t>T.ランク判定値４</t>
  </si>
  <si>
    <t>T.ランク判定値５</t>
  </si>
  <si>
    <t>T.ランク判定値６</t>
  </si>
  <si>
    <t>T.管理目標値</t>
  </si>
  <si>
    <t>T.推定値</t>
  </si>
  <si>
    <t>T.最終更新者</t>
  </si>
  <si>
    <t>T.最終更新時刻</t>
  </si>
  <si>
    <t>Select用文字列</t>
    <rPh sb="6" eb="7">
      <t>ヨウ</t>
    </rPh>
    <rPh sb="7" eb="10">
      <t>モジレツ</t>
    </rPh>
    <phoneticPr fontId="13"/>
  </si>
  <si>
    <t>1</t>
    <phoneticPr fontId="13"/>
  </si>
  <si>
    <t>2</t>
    <phoneticPr fontId="13"/>
  </si>
  <si>
    <t>9</t>
  </si>
  <si>
    <t>11</t>
  </si>
  <si>
    <t>13</t>
  </si>
  <si>
    <t>16</t>
  </si>
  <si>
    <t>18</t>
  </si>
  <si>
    <t>19</t>
  </si>
  <si>
    <t>21</t>
  </si>
  <si>
    <t>23</t>
  </si>
  <si>
    <t>32</t>
  </si>
  <si>
    <t>38</t>
  </si>
  <si>
    <t>41</t>
  </si>
  <si>
    <t>42</t>
  </si>
  <si>
    <t>43</t>
  </si>
  <si>
    <t>44</t>
  </si>
  <si>
    <t>45</t>
  </si>
  <si>
    <t>46</t>
  </si>
  <si>
    <t>49</t>
  </si>
  <si>
    <t>51</t>
  </si>
  <si>
    <t>52</t>
  </si>
  <si>
    <t>56</t>
  </si>
  <si>
    <t>58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</si>
  <si>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</si>
  <si>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</si>
  <si>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</si>
  <si>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</si>
  <si>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</si>
  <si>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</si>
  <si>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</si>
  <si>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</si>
  <si>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</si>
  <si>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</si>
  <si>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</si>
  <si>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</si>
  <si>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</si>
  <si>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75</t>
  </si>
  <si>
    <t>76</t>
  </si>
  <si>
    <t>77</t>
  </si>
  <si>
    <t>78</t>
  </si>
  <si>
    <t>79</t>
  </si>
  <si>
    <t>81</t>
  </si>
  <si>
    <t>82</t>
  </si>
  <si>
    <t>83</t>
  </si>
  <si>
    <t>84</t>
  </si>
  <si>
    <t>85</t>
  </si>
  <si>
    <t>86</t>
  </si>
  <si>
    <t>90</t>
  </si>
  <si>
    <t>92</t>
  </si>
  <si>
    <t>93</t>
  </si>
  <si>
    <t>94</t>
  </si>
  <si>
    <t>95</t>
  </si>
  <si>
    <t>96</t>
  </si>
  <si>
    <t>97</t>
  </si>
  <si>
    <t>98</t>
  </si>
  <si>
    <t>101</t>
  </si>
  <si>
    <t>102</t>
  </si>
  <si>
    <t>103</t>
  </si>
  <si>
    <t>104</t>
  </si>
  <si>
    <t>105</t>
  </si>
  <si>
    <t>106</t>
  </si>
  <si>
    <t>107</t>
  </si>
  <si>
    <t>108</t>
  </si>
  <si>
    <t>110</t>
  </si>
  <si>
    <t>111</t>
  </si>
  <si>
    <t>112</t>
  </si>
  <si>
    <t>113</t>
  </si>
  <si>
    <t>114</t>
  </si>
  <si>
    <t>115</t>
  </si>
  <si>
    <t>116</t>
  </si>
  <si>
    <t>117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</si>
  <si>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</si>
  <si>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</si>
  <si>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</si>
  <si>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</si>
  <si>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</si>
  <si>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</si>
  <si>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</si>
  <si>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</si>
  <si>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</si>
  <si>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</si>
  <si>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</si>
  <si>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</si>
  <si>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</si>
  <si>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</si>
  <si>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</si>
  <si>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</si>
  <si>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</si>
  <si>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</si>
  <si>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</si>
  <si>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</si>
  <si>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</si>
  <si>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</si>
  <si>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</si>
  <si>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</si>
  <si>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</si>
  <si>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</si>
  <si>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</si>
  <si>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</si>
  <si>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</si>
  <si>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</si>
  <si>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</si>
  <si>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</si>
  <si>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</si>
  <si>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</si>
  <si>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</si>
  <si>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</si>
  <si>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</si>
  <si>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</si>
  <si>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</si>
  <si>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</si>
  <si>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</si>
  <si>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</si>
  <si>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</si>
  <si>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</si>
  <si>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164</t>
  </si>
  <si>
    <t>165</t>
  </si>
  <si>
    <t>166</t>
  </si>
  <si>
    <t>167</t>
  </si>
  <si>
    <t>168</t>
  </si>
  <si>
    <t>169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</si>
  <si>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</si>
  <si>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</si>
  <si>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</si>
  <si>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</si>
  <si>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</si>
  <si>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</si>
  <si>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</si>
  <si>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</si>
  <si>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</si>
  <si>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182</t>
  </si>
  <si>
    <t>183</t>
  </si>
  <si>
    <t>184</t>
  </si>
  <si>
    <t>185</t>
  </si>
  <si>
    <t>186</t>
  </si>
  <si>
    <t>187</t>
  </si>
  <si>
    <t>188</t>
  </si>
  <si>
    <t>189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</si>
  <si>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</si>
  <si>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</si>
  <si>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</si>
  <si>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</si>
  <si>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</si>
  <si>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</si>
  <si>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</si>
  <si>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</si>
  <si>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</si>
  <si>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</si>
  <si>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</si>
  <si>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</si>
  <si>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</si>
  <si>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</si>
  <si>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</si>
  <si>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</si>
  <si>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</si>
  <si>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</si>
  <si>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</si>
  <si>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</si>
  <si>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</si>
  <si>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</si>
  <si>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</si>
  <si>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</si>
  <si>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</si>
  <si>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</si>
  <si>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</si>
  <si>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</si>
  <si>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</si>
  <si>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</si>
  <si>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</si>
  <si>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</si>
  <si>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</si>
  <si>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サンプル</t>
    <phoneticPr fontId="13"/>
  </si>
  <si>
    <t>ホルダ</t>
    <phoneticPr fontId="13"/>
  </si>
  <si>
    <t>試験項目</t>
    <rPh sb="0" eb="2">
      <t>シケン</t>
    </rPh>
    <rPh sb="2" eb="4">
      <t>コウモク</t>
    </rPh>
    <phoneticPr fontId="13"/>
  </si>
  <si>
    <t>No.2</t>
  </si>
  <si>
    <t>No</t>
    <phoneticPr fontId="13"/>
  </si>
  <si>
    <t>DB項目名</t>
    <rPh sb="2" eb="5">
      <t>コウモクメイ</t>
    </rPh>
    <phoneticPr fontId="13"/>
  </si>
  <si>
    <t>データシート用DB項目名</t>
    <rPh sb="6" eb="7">
      <t>ヨウ</t>
    </rPh>
    <rPh sb="9" eb="12">
      <t>コウモクメイ</t>
    </rPh>
    <phoneticPr fontId="13"/>
  </si>
  <si>
    <t>CSV項目名</t>
    <rPh sb="3" eb="6">
      <t>コウモクメイ</t>
    </rPh>
    <phoneticPr fontId="13"/>
  </si>
  <si>
    <t>) T</t>
    <phoneticPr fontId="13"/>
  </si>
  <si>
    <t>) H</t>
    <phoneticPr fontId="13"/>
  </si>
  <si>
    <t xml:space="preserve"> ) S</t>
    <phoneticPr fontId="13"/>
  </si>
  <si>
    <t xml:space="preserve"> on H.REQNO = S.REQNO</t>
    <phoneticPr fontId="13"/>
  </si>
  <si>
    <t xml:space="preserve"> on T.REQNO = H.REQNO</t>
    <phoneticPr fontId="13"/>
  </si>
  <si>
    <t xml:space="preserve">    and T.HLDCD = H.HLDCD</t>
    <phoneticPr fontId="13"/>
  </si>
  <si>
    <t xml:space="preserve"> , H.HLDCD</t>
    <phoneticPr fontId="13"/>
  </si>
  <si>
    <t xml:space="preserve"> , T.TSTCD</t>
    <phoneticPr fontId="13"/>
  </si>
  <si>
    <t xml:space="preserve"> , T.UNTCD</t>
    <phoneticPr fontId="13"/>
  </si>
  <si>
    <t>WH</t>
    <phoneticPr fontId="13"/>
  </si>
  <si>
    <t>WH</t>
  </si>
  <si>
    <t xml:space="preserve"> S.REQNO desc</t>
    <phoneticPr fontId="13"/>
  </si>
  <si>
    <t xml:space="preserve"> on PRT.PRTCD = S.PRTCD</t>
    <phoneticPr fontId="13"/>
  </si>
  <si>
    <t>left join LDBMUSR USR1</t>
    <phoneticPr fontId="13"/>
  </si>
  <si>
    <t xml:space="preserve"> on USR1.USRCD = S.APRUSRCD</t>
    <phoneticPr fontId="13"/>
  </si>
  <si>
    <t xml:space="preserve"> on USR2.USRCD = S.SMPINFX01</t>
    <phoneticPr fontId="13"/>
  </si>
  <si>
    <t xml:space="preserve"> on UNT.UNTCD = T.UNTCD</t>
    <phoneticPr fontId="13"/>
  </si>
  <si>
    <t>カラム名</t>
    <phoneticPr fontId="13"/>
  </si>
  <si>
    <t>V4 oracle</t>
    <phoneticPr fontId="13"/>
  </si>
  <si>
    <t>CSV項目名</t>
    <rPh sb="3" eb="6">
      <t>コウモクメイ</t>
    </rPh>
    <phoneticPr fontId="13"/>
  </si>
  <si>
    <t>フィールド名</t>
    <rPh sb="5" eb="6">
      <t>メイ</t>
    </rPh>
    <phoneticPr fontId="13"/>
  </si>
  <si>
    <t>-</t>
  </si>
  <si>
    <t>sample_request_number</t>
  </si>
  <si>
    <t>sample_sampling_date</t>
  </si>
  <si>
    <t>sample_sampling_date_sample</t>
  </si>
  <si>
    <t>sample_measurement_date</t>
  </si>
  <si>
    <t>sample_job_number</t>
  </si>
  <si>
    <t>sample_job_branch_number</t>
  </si>
  <si>
    <t>sample_protocol_name</t>
  </si>
  <si>
    <t>sample_code</t>
  </si>
  <si>
    <t>sample_name</t>
  </si>
  <si>
    <t>sample_material_or_facility_name</t>
  </si>
  <si>
    <t>holder_code</t>
  </si>
  <si>
    <t>holder_name</t>
  </si>
  <si>
    <t>test_raw_data</t>
  </si>
  <si>
    <t>test_reported_data</t>
  </si>
  <si>
    <t>test_unit_name</t>
  </si>
  <si>
    <t>sample_hcl_converted_o2</t>
  </si>
  <si>
    <t>sample_nox_converted_o2</t>
  </si>
  <si>
    <t>sample_dust_converted_o2</t>
  </si>
  <si>
    <t>test_upper_limit_spec_1</t>
  </si>
  <si>
    <t>test_upper_limit_spec_2</t>
  </si>
  <si>
    <t>test_upper_limit_spec_3</t>
  </si>
  <si>
    <t>test_upper_limit_spec_4</t>
  </si>
  <si>
    <t>test_lower_limit_spec_1</t>
  </si>
  <si>
    <t>test_lower_limit_spec_2</t>
  </si>
  <si>
    <t>test_lower_limit_spec_3</t>
  </si>
  <si>
    <t>test_lower_limit_spec_4</t>
  </si>
  <si>
    <t>test_upper_quantitation_limit</t>
  </si>
  <si>
    <t>test_lower_quantitation_limit</t>
  </si>
  <si>
    <t>sample_requester</t>
  </si>
  <si>
    <t>sample_approver</t>
  </si>
  <si>
    <t>sample_approver_name</t>
  </si>
  <si>
    <t>sample_overall_judge</t>
  </si>
  <si>
    <t>sample_overall_judge_name</t>
  </si>
  <si>
    <t>sample_status</t>
  </si>
  <si>
    <t>test_status</t>
  </si>
  <si>
    <t>test_grade_code</t>
  </si>
  <si>
    <t>sample_out_of_spec_flag</t>
  </si>
  <si>
    <t>test_judgment</t>
  </si>
  <si>
    <t>test_hidden_flag</t>
  </si>
  <si>
    <t>test_report_value_flag</t>
  </si>
  <si>
    <t>test_unit_code</t>
    <phoneticPr fontId="13"/>
  </si>
  <si>
    <t>T.単位コード</t>
    <phoneticPr fontId="13"/>
  </si>
  <si>
    <t>test_code</t>
    <phoneticPr fontId="13"/>
  </si>
  <si>
    <t>test_name</t>
    <phoneticPr fontId="13"/>
  </si>
  <si>
    <t>20120101</t>
  </si>
  <si>
    <t>20121231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</si>
</sst>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メイリオ"/>
      <family val="2"/>
      <scheme val="minor"/>
    </font>
    <font>
      <sz val="11"/>
      <color theme="1"/>
      <name val="メイリオ"/>
      <family val="2"/>
      <charset val="128"/>
    </font>
    <font>
      <sz val="11"/>
      <color theme="1"/>
      <name val="メイリオ"/>
      <family val="2"/>
      <charset val="128"/>
    </font>
    <font>
      <sz val="11"/>
      <color theme="1"/>
      <name val="メイリオ"/>
      <family val="2"/>
      <charset val="128"/>
    </font>
    <font>
      <sz val="11"/>
      <color theme="1"/>
      <name val="メイリオ"/>
      <family val="2"/>
      <charset val="128"/>
    </font>
    <font>
      <sz val="11"/>
      <color theme="1"/>
      <name val="メイリオ"/>
      <family val="2"/>
      <charset val="128"/>
    </font>
    <font>
      <sz val="11"/>
      <color theme="1"/>
      <name val="メイリオ"/>
      <family val="2"/>
      <charset val="128"/>
    </font>
    <font>
      <sz val="11"/>
      <color theme="1"/>
      <name val="メイリオ"/>
      <family val="2"/>
      <charset val="128"/>
    </font>
    <font>
      <sz val="11"/>
      <color theme="1"/>
      <name val="メイリオ"/>
      <family val="2"/>
      <charset val="128"/>
    </font>
    <font>
      <sz val="11"/>
      <color theme="1"/>
      <name val="メイリオ"/>
      <family val="2"/>
      <charset val="128"/>
    </font>
    <font>
      <sz val="11"/>
      <color theme="1"/>
      <name val="メイリオ"/>
      <family val="2"/>
      <charset val="128"/>
    </font>
    <font>
      <sz val="11"/>
      <color theme="1"/>
      <name val="メイリオ"/>
      <family val="2"/>
      <charset val="128"/>
    </font>
    <font>
      <sz val="11"/>
      <color theme="1"/>
      <name val="メイリオ"/>
      <family val="2"/>
      <charset val="128"/>
    </font>
    <font>
      <sz val="6"/>
      <name val="メイリオ"/>
      <family val="3"/>
      <charset val="128"/>
      <scheme val="minor"/>
    </font>
    <font>
      <sz val="9"/>
      <color theme="1"/>
      <name val="メイリオ"/>
      <family val="3"/>
      <charset val="128"/>
    </font>
    <font>
      <sz val="10"/>
      <color theme="1"/>
      <name val="メイリオ"/>
      <family val="2"/>
      <charset val="128"/>
    </font>
    <font>
      <sz val="10"/>
      <color theme="1"/>
      <name val="メイリオ"/>
      <family val="3"/>
      <charset val="128"/>
    </font>
    <font>
      <b/>
      <sz val="10"/>
      <color rgb="FF0070C0"/>
      <name val="メイリオ"/>
      <family val="3"/>
      <charset val="128"/>
    </font>
    <font>
      <sz val="11"/>
      <color rgb="FF000000"/>
      <name val="メイリオ"/>
      <family val="3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9"/>
      <color theme="1"/>
      <name val="メイリオ"/>
      <family val="3"/>
      <charset val="128"/>
      <scheme val="minor"/>
    </font>
    <font>
      <sz val="8"/>
      <color theme="1"/>
      <name val="メイリオ"/>
      <family val="3"/>
      <charset val="128"/>
    </font>
    <font>
      <sz val="9"/>
      <color theme="1"/>
      <name val="メイリオ"/>
      <family val="2"/>
      <charset val="128"/>
    </font>
    <font>
      <sz val="8"/>
      <color theme="1"/>
      <name val="メイリオ"/>
      <family val="2"/>
      <charset val="128"/>
    </font>
    <font>
      <b/>
      <sz val="9"/>
      <color theme="1"/>
      <name val="メイリオ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</borders>
  <cellStyleXfs count="13">
    <xf numFmtId="0" fontId="0" fillId="0" borderId="0"/>
    <xf numFmtId="0" fontId="12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59">
    <xf numFmtId="0" fontId="0" fillId="0" borderId="0" xfId="0"/>
    <xf numFmtId="0" fontId="14" fillId="0" borderId="0" xfId="0" applyFont="1"/>
    <xf numFmtId="0" fontId="14" fillId="2" borderId="0" xfId="0" applyFont="1" applyFill="1"/>
    <xf numFmtId="49" fontId="14" fillId="2" borderId="0" xfId="0" applyNumberFormat="1" applyFont="1" applyFill="1"/>
    <xf numFmtId="49" fontId="14" fillId="2" borderId="0" xfId="0" quotePrefix="1" applyNumberFormat="1" applyFont="1" applyFill="1"/>
    <xf numFmtId="0" fontId="14" fillId="0" borderId="0" xfId="0" applyFont="1" applyFill="1"/>
    <xf numFmtId="0" fontId="15" fillId="0" borderId="0" xfId="3" applyFont="1">
      <alignment vertical="center"/>
    </xf>
    <xf numFmtId="0" fontId="15" fillId="0" borderId="1" xfId="3" applyFont="1" applyBorder="1">
      <alignment vertical="center"/>
    </xf>
    <xf numFmtId="0" fontId="17" fillId="0" borderId="1" xfId="3" applyFont="1" applyBorder="1">
      <alignment vertical="center"/>
    </xf>
    <xf numFmtId="0" fontId="16" fillId="0" borderId="0" xfId="3" applyFont="1" applyBorder="1">
      <alignment vertical="center"/>
    </xf>
    <xf numFmtId="0" fontId="17" fillId="0" borderId="5" xfId="3" applyFont="1" applyBorder="1">
      <alignment vertical="center"/>
    </xf>
    <xf numFmtId="0" fontId="15" fillId="0" borderId="5" xfId="3" applyFont="1" applyBorder="1">
      <alignment vertical="center"/>
    </xf>
    <xf numFmtId="0" fontId="15" fillId="0" borderId="6" xfId="3" applyFont="1" applyBorder="1">
      <alignment vertical="center"/>
    </xf>
    <xf numFmtId="0" fontId="15" fillId="0" borderId="7" xfId="3" applyFont="1" applyBorder="1">
      <alignment vertical="center"/>
    </xf>
    <xf numFmtId="0" fontId="15" fillId="0" borderId="8" xfId="3" applyFont="1" applyBorder="1">
      <alignment vertical="center"/>
    </xf>
    <xf numFmtId="49" fontId="14" fillId="0" borderId="0" xfId="0" applyNumberFormat="1" applyFont="1" applyFill="1"/>
    <xf numFmtId="49" fontId="14" fillId="0" borderId="0" xfId="0" quotePrefix="1" applyNumberFormat="1" applyFont="1" applyFill="1"/>
    <xf numFmtId="0" fontId="14" fillId="3" borderId="0" xfId="0" applyFont="1" applyFill="1"/>
    <xf numFmtId="0" fontId="8" fillId="0" borderId="0" xfId="5">
      <alignment vertical="center"/>
    </xf>
    <xf numFmtId="0" fontId="14" fillId="0" borderId="0" xfId="0" quotePrefix="1" applyFont="1" applyFill="1"/>
    <xf numFmtId="0" fontId="14" fillId="0" borderId="0" xfId="0" applyNumberFormat="1" applyFont="1"/>
    <xf numFmtId="0" fontId="24" fillId="0" borderId="0" xfId="3" applyFont="1" applyAlignment="1">
      <alignment horizontal="right" vertical="center"/>
    </xf>
    <xf numFmtId="0" fontId="22" fillId="0" borderId="0" xfId="3" applyFont="1" applyAlignment="1">
      <alignment horizontal="right" vertical="center"/>
    </xf>
    <xf numFmtId="0" fontId="15" fillId="5" borderId="6" xfId="3" applyFont="1" applyFill="1" applyBorder="1">
      <alignment vertical="center"/>
    </xf>
    <xf numFmtId="0" fontId="15" fillId="5" borderId="7" xfId="3" applyFont="1" applyFill="1" applyBorder="1">
      <alignment vertical="center"/>
    </xf>
    <xf numFmtId="0" fontId="15" fillId="5" borderId="8" xfId="3" applyFont="1" applyFill="1" applyBorder="1">
      <alignment vertical="center"/>
    </xf>
    <xf numFmtId="0" fontId="23" fillId="5" borderId="3" xfId="3" applyFont="1" applyFill="1" applyBorder="1">
      <alignment vertical="center"/>
    </xf>
    <xf numFmtId="0" fontId="23" fillId="0" borderId="0" xfId="3" applyFont="1">
      <alignment vertical="center"/>
    </xf>
    <xf numFmtId="0" fontId="23" fillId="5" borderId="2" xfId="3" applyFont="1" applyFill="1" applyBorder="1">
      <alignment vertical="center"/>
    </xf>
    <xf numFmtId="0" fontId="14" fillId="5" borderId="4" xfId="3" applyFont="1" applyFill="1" applyBorder="1">
      <alignment vertical="center"/>
    </xf>
    <xf numFmtId="0" fontId="1" fillId="0" borderId="0" xfId="5" applyFont="1">
      <alignment vertical="center"/>
    </xf>
    <xf numFmtId="0" fontId="25" fillId="0" borderId="11" xfId="0" applyFont="1" applyBorder="1" applyAlignment="1">
      <alignment vertical="center" wrapText="1"/>
    </xf>
    <xf numFmtId="0" fontId="14" fillId="0" borderId="0" xfId="12" applyFont="1">
      <alignment vertical="center"/>
    </xf>
    <xf numFmtId="0" fontId="21" fillId="0" borderId="11" xfId="0" applyFont="1" applyBorder="1" applyAlignment="1">
      <alignment vertical="center" wrapText="1"/>
    </xf>
    <xf numFmtId="0" fontId="25" fillId="0" borderId="12" xfId="0" applyFont="1" applyBorder="1" applyAlignment="1">
      <alignment vertical="center" wrapText="1"/>
    </xf>
    <xf numFmtId="0" fontId="21" fillId="0" borderId="12" xfId="0" applyFont="1" applyBorder="1" applyAlignment="1">
      <alignment vertical="center" wrapText="1"/>
    </xf>
    <xf numFmtId="0" fontId="21" fillId="0" borderId="13" xfId="0" applyFont="1" applyBorder="1" applyAlignment="1">
      <alignment vertical="center" wrapText="1"/>
    </xf>
    <xf numFmtId="0" fontId="25" fillId="0" borderId="13" xfId="0" applyFont="1" applyBorder="1" applyAlignment="1">
      <alignment vertical="center" wrapText="1"/>
    </xf>
    <xf numFmtId="49" fontId="22" fillId="0" borderId="0" xfId="3" applyNumberFormat="1" applyFont="1">
      <alignment vertical="center"/>
    </xf>
    <xf numFmtId="0" fontId="22" fillId="4" borderId="5" xfId="12" applyFont="1" applyFill="1" applyBorder="1">
      <alignment vertical="center"/>
    </xf>
    <xf numFmtId="0" fontId="22" fillId="4" borderId="9" xfId="3" applyFont="1" applyFill="1" applyBorder="1">
      <alignment vertical="center"/>
    </xf>
    <xf numFmtId="0" fontId="22" fillId="4" borderId="10" xfId="3" applyFont="1" applyFill="1" applyBorder="1">
      <alignment vertical="center"/>
    </xf>
    <xf numFmtId="0" fontId="22" fillId="0" borderId="0" xfId="3" applyFont="1">
      <alignment vertical="center"/>
    </xf>
    <xf numFmtId="0" fontId="14" fillId="6" borderId="10" xfId="12" applyFont="1" applyFill="1" applyBorder="1">
      <alignment vertical="center"/>
    </xf>
    <xf numFmtId="0" fontId="14" fillId="6" borderId="5" xfId="12" applyFont="1" applyFill="1" applyBorder="1">
      <alignment vertical="center"/>
    </xf>
    <xf numFmtId="49" fontId="22" fillId="0" borderId="2" xfId="3" applyNumberFormat="1" applyFont="1" applyBorder="1">
      <alignment vertical="center"/>
    </xf>
    <xf numFmtId="49" fontId="22" fillId="0" borderId="3" xfId="3" applyNumberFormat="1" applyFont="1" applyBorder="1">
      <alignment vertical="center"/>
    </xf>
    <xf numFmtId="0" fontId="22" fillId="7" borderId="3" xfId="12" applyFont="1" applyFill="1" applyBorder="1">
      <alignment vertical="center"/>
    </xf>
    <xf numFmtId="49" fontId="22" fillId="4" borderId="2" xfId="3" applyNumberFormat="1" applyFont="1" applyFill="1" applyBorder="1">
      <alignment vertical="center"/>
    </xf>
    <xf numFmtId="49" fontId="22" fillId="4" borderId="3" xfId="3" applyNumberFormat="1" applyFont="1" applyFill="1" applyBorder="1">
      <alignment vertical="center"/>
    </xf>
    <xf numFmtId="49" fontId="22" fillId="4" borderId="4" xfId="3" applyNumberFormat="1" applyFont="1" applyFill="1" applyBorder="1">
      <alignment vertical="center"/>
    </xf>
    <xf numFmtId="49" fontId="22" fillId="0" borderId="4" xfId="3" applyNumberFormat="1" applyFont="1" applyBorder="1">
      <alignment vertical="center"/>
    </xf>
    <xf numFmtId="0" fontId="14" fillId="2" borderId="0" xfId="0" quotePrefix="1" applyFont="1" applyFill="1"/>
    <xf numFmtId="0" fontId="22" fillId="4" borderId="2" xfId="12" applyFont="1" applyFill="1" applyBorder="1">
      <alignment vertical="center"/>
    </xf>
    <xf numFmtId="0" fontId="22" fillId="7" borderId="4" xfId="12" applyFont="1" applyFill="1" applyBorder="1">
      <alignment vertical="center"/>
    </xf>
    <xf numFmtId="0" fontId="22" fillId="4" borderId="2" xfId="3" applyFont="1" applyFill="1" applyBorder="1">
      <alignment vertical="center"/>
    </xf>
    <xf numFmtId="0" fontId="14" fillId="8" borderId="0" xfId="0" applyFont="1" applyFill="1"/>
    <xf numFmtId="0" fontId="15" fillId="5" borderId="1" xfId="3" applyFont="1" applyFill="1" applyBorder="1" applyAlignment="1">
      <alignment horizontal="center" vertical="center"/>
    </xf>
    <xf numFmtId="0" fontId="16" fillId="5" borderId="1" xfId="3" applyFont="1" applyFill="1" applyBorder="1" applyAlignment="1">
      <alignment horizontal="center" vertical="center"/>
    </xf>
  </cellXfs>
  <cellStyles count="13">
    <cellStyle name="標準" xfId="0" builtinId="0"/>
    <cellStyle name="標準 10" xfId="9" xr:uid="{00000000-0005-0000-0000-000001000000}"/>
    <cellStyle name="標準 11" xfId="10" xr:uid="{00000000-0005-0000-0000-000002000000}"/>
    <cellStyle name="標準 12" xfId="11" xr:uid="{00000000-0005-0000-0000-000003000000}"/>
    <cellStyle name="標準 13" xfId="12" xr:uid="{00000000-0005-0000-0000-000004000000}"/>
    <cellStyle name="標準 2" xfId="1" xr:uid="{00000000-0005-0000-0000-000005000000}"/>
    <cellStyle name="標準 3" xfId="2" xr:uid="{00000000-0005-0000-0000-000006000000}"/>
    <cellStyle name="標準 4" xfId="3" xr:uid="{00000000-0005-0000-0000-000007000000}"/>
    <cellStyle name="標準 5" xfId="4" xr:uid="{00000000-0005-0000-0000-000008000000}"/>
    <cellStyle name="標準 6" xfId="5" xr:uid="{00000000-0005-0000-0000-000009000000}"/>
    <cellStyle name="標準 7" xfId="6" xr:uid="{00000000-0005-0000-0000-00000A000000}"/>
    <cellStyle name="標準 8" xfId="7" xr:uid="{00000000-0005-0000-0000-00000B000000}"/>
    <cellStyle name="標準 9" xfId="8" xr:uid="{00000000-0005-0000-0000-00000C000000}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minor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minor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minor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minor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minor"/>
      </font>
      <alignment horizontal="general" vertical="center" textRotation="0" wrapText="1" indent="0" justifyLastLine="0" shrinkToFit="0" readingOrder="0"/>
      <border diagonalUp="0" diagonalDown="0">
        <left/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minor"/>
      </font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minor"/>
      </font>
      <alignment horizontal="general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</dxfs>
  <tableStyles count="0" defaultTableStyle="TableStyleMedium2" defaultPivotStyle="PivotStyleMedium9"/>
  <colors>
    <mruColors>
      <color rgb="FFFFFF66"/>
      <color rgb="FF66FF33"/>
      <color rgb="FFFFFF99"/>
      <color rgb="FFA0BE5E"/>
      <color rgb="FFE8B944"/>
      <color rgb="FFEB6B6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1</xdr:row>
          <xdr:rowOff>19050</xdr:rowOff>
        </xdr:from>
        <xdr:to>
          <xdr:col>2</xdr:col>
          <xdr:colOff>781050</xdr:colOff>
          <xdr:row>2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914400</xdr:colOff>
          <xdr:row>0</xdr:row>
          <xdr:rowOff>171450</xdr:rowOff>
        </xdr:from>
        <xdr:to>
          <xdr:col>2</xdr:col>
          <xdr:colOff>1647825</xdr:colOff>
          <xdr:row>3</xdr:row>
          <xdr:rowOff>57150</xdr:rowOff>
        </xdr:to>
        <xdr:grpSp>
          <xdr:nvGrpSpPr>
            <xdr:cNvPr id="2" name="グループ化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pSpPr/>
          </xdr:nvGrpSpPr>
          <xdr:grpSpPr>
            <a:xfrm>
              <a:off x="1419225" y="171450"/>
              <a:ext cx="733425" cy="514350"/>
              <a:chOff x="485775" y="2447925"/>
              <a:chExt cx="1371600" cy="514350"/>
            </a:xfrm>
          </xdr:grpSpPr>
          <xdr:sp macro="" textlink="">
            <xdr:nvSpPr>
              <xdr:cNvPr id="1039" name="opSearchFlg" hidden="1">
                <a:extLst>
                  <a:ext uri="{63B3BB69-23CF-44E3-9099-C40C66FF867C}">
                    <a14:compatExt spid="_x0000_s1039"/>
                  </a:ext>
                  <a:ext uri="{FF2B5EF4-FFF2-40B4-BE49-F238E27FC236}">
                    <a16:creationId xmlns:a16="http://schemas.microsoft.com/office/drawing/2014/main" id="{00000000-0008-0000-0000-00000F040000}"/>
                  </a:ext>
                </a:extLst>
              </xdr:cNvPr>
              <xdr:cNvSpPr/>
            </xdr:nvSpPr>
            <xdr:spPr bwMode="auto">
              <a:xfrm>
                <a:off x="485775" y="2447925"/>
                <a:ext cx="1371600" cy="2857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40" name="opCsvFlg" hidden="1">
                <a:extLst>
                  <a:ext uri="{63B3BB69-23CF-44E3-9099-C40C66FF867C}">
                    <a14:compatExt spid="_x0000_s1040"/>
                  </a:ext>
                  <a:ext uri="{FF2B5EF4-FFF2-40B4-BE49-F238E27FC236}">
                    <a16:creationId xmlns:a16="http://schemas.microsoft.com/office/drawing/2014/main" id="{00000000-0008-0000-0000-000010040000}"/>
                  </a:ext>
                </a:extLst>
              </xdr:cNvPr>
              <xdr:cNvSpPr/>
            </xdr:nvSpPr>
            <xdr:spPr bwMode="auto">
              <a:xfrm>
                <a:off x="485775" y="2676525"/>
                <a:ext cx="1371600" cy="2857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2</xdr:row>
          <xdr:rowOff>19050</xdr:rowOff>
        </xdr:from>
        <xdr:to>
          <xdr:col>14</xdr:col>
          <xdr:colOff>200025</xdr:colOff>
          <xdr:row>3</xdr:row>
          <xdr:rowOff>47625</xdr:rowOff>
        </xdr:to>
        <xdr:sp macro="" textlink="">
          <xdr:nvSpPr>
            <xdr:cNvPr id="1041" name="tbFolderPath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323850</xdr:colOff>
          <xdr:row>2</xdr:row>
          <xdr:rowOff>9525</xdr:rowOff>
        </xdr:from>
        <xdr:to>
          <xdr:col>14</xdr:col>
          <xdr:colOff>790575</xdr:colOff>
          <xdr:row>3</xdr:row>
          <xdr:rowOff>47625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参照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フィールドリスト" displayName="フィールドリスト" ref="B2:H226" totalsRowShown="0" headerRowDxfId="9" dataDxfId="8" tableBorderDxfId="7">
  <autoFilter ref="B2:H226" xr:uid="{00000000-0009-0000-0100-000001000000}"/>
  <tableColumns count="7">
    <tableColumn id="1" xr3:uid="{00000000-0010-0000-0000-000001000000}" name="参照用キー" dataDxfId="6" dataCellStyle="標準 13"/>
    <tableColumn id="2" xr3:uid="{00000000-0010-0000-0000-000002000000}" name="No." dataDxfId="5"/>
    <tableColumn id="3" xr3:uid="{00000000-0010-0000-0000-000003000000}" name="テーブル" dataDxfId="4"/>
    <tableColumn id="4" xr3:uid="{00000000-0010-0000-0000-000004000000}" name="No.2" dataDxfId="3"/>
    <tableColumn id="5" xr3:uid="{00000000-0010-0000-0000-000005000000}" name="カラム名" dataDxfId="2"/>
    <tableColumn id="6" xr3:uid="{00000000-0010-0000-0000-000006000000}" name="タイトル" dataDxfId="1"/>
    <tableColumn id="7" xr3:uid="{00000000-0010-0000-0000-000007000000}" name="Select用文字列" dataDxfId="0" dataCellStyle="標準 13">
      <calculatedColumnFormula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メイリオ">
      <a:majorFont>
        <a:latin typeface="メイリオ"/>
        <a:ea typeface="メイリオ"/>
        <a:cs typeface=""/>
      </a:majorFont>
      <a:minorFont>
        <a:latin typeface="メイリオ"/>
        <a:ea typeface="メイリオ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Search"/>
  <dimension ref="A5:P101"/>
  <sheetViews>
    <sheetView showGridLines="0" tabSelected="1" workbookViewId="0">
      <selection activeCell="D10" sqref="D10"/>
    </sheetView>
  </sheetViews>
  <sheetFormatPr defaultColWidth="8.88671875" defaultRowHeight="16.5" x14ac:dyDescent="0.45"/>
  <cols>
    <col min="1" max="1" width="2.33203125" style="6" customWidth="1"/>
    <col min="2" max="2" width="3.5546875" style="6" customWidth="1"/>
    <col min="3" max="3" width="20.21875" style="6" customWidth="1"/>
    <col min="4" max="4" width="5" style="6" customWidth="1"/>
    <col min="5" max="7" width="3.5546875" style="6" customWidth="1"/>
    <col min="8" max="8" width="9.44140625" style="6" customWidth="1"/>
    <col min="9" max="9" width="3" style="6" customWidth="1"/>
    <col min="10" max="10" width="9.44140625" style="6" customWidth="1"/>
    <col min="11" max="11" width="3" style="6" customWidth="1"/>
    <col min="12" max="12" width="9.44140625" style="6" customWidth="1"/>
    <col min="13" max="13" width="6.5546875" style="6" customWidth="1"/>
    <col min="14" max="14" width="19" style="42" bestFit="1" customWidth="1"/>
    <col min="15" max="15" width="15.33203125" style="42" bestFit="1" customWidth="1"/>
    <col min="16" max="16" width="21.6640625" style="42" bestFit="1" customWidth="1"/>
    <col min="17" max="16384" width="8.88671875" style="6"/>
  </cols>
  <sheetData>
    <row r="5" spans="1:16" x14ac:dyDescent="0.45">
      <c r="A5" s="21"/>
      <c r="B5" s="21" t="s">
        <v>42</v>
      </c>
      <c r="C5" s="8" t="s">
        <v>27</v>
      </c>
      <c r="D5" s="57" t="s">
        <v>935</v>
      </c>
      <c r="E5" s="57"/>
      <c r="H5" s="7" t="s">
        <v>24</v>
      </c>
      <c r="J5" s="7" t="s">
        <v>28</v>
      </c>
      <c r="L5" s="7" t="s">
        <v>43</v>
      </c>
      <c r="N5" s="39" t="s">
        <v>924</v>
      </c>
      <c r="O5" s="40"/>
      <c r="P5" s="41"/>
    </row>
    <row r="6" spans="1:16" x14ac:dyDescent="0.45">
      <c r="A6" s="22"/>
      <c r="B6" s="22"/>
      <c r="C6" s="7" t="s">
        <v>41</v>
      </c>
      <c r="D6" s="58"/>
      <c r="E6" s="58"/>
      <c r="F6" s="9"/>
      <c r="H6" s="28"/>
      <c r="I6" s="27"/>
      <c r="J6" s="26"/>
      <c r="K6" s="27"/>
      <c r="L6" s="26"/>
      <c r="N6" s="53" t="s">
        <v>918</v>
      </c>
      <c r="O6" s="55" t="s">
        <v>919</v>
      </c>
      <c r="P6" s="55" t="s">
        <v>920</v>
      </c>
    </row>
    <row r="7" spans="1:16" x14ac:dyDescent="0.45">
      <c r="A7" s="22"/>
      <c r="B7" s="22"/>
      <c r="H7" s="26"/>
      <c r="I7" s="27"/>
      <c r="J7" s="26"/>
      <c r="K7" s="27"/>
      <c r="L7" s="26"/>
      <c r="N7" s="46" t="s">
        <v>522</v>
      </c>
      <c r="O7" s="47" t="s">
        <v>616</v>
      </c>
      <c r="P7" s="47" t="s">
        <v>651</v>
      </c>
    </row>
    <row r="8" spans="1:16" x14ac:dyDescent="0.45">
      <c r="A8" s="22"/>
      <c r="B8" s="22"/>
      <c r="D8" s="12" t="s">
        <v>29</v>
      </c>
      <c r="E8" s="13" t="s">
        <v>30</v>
      </c>
      <c r="F8" s="14" t="s">
        <v>31</v>
      </c>
      <c r="H8" s="26"/>
      <c r="I8" s="27"/>
      <c r="J8" s="26"/>
      <c r="K8" s="27"/>
      <c r="L8" s="26"/>
      <c r="N8" s="47" t="s">
        <v>523</v>
      </c>
      <c r="O8" s="47" t="s">
        <v>617</v>
      </c>
      <c r="P8" s="47" t="s">
        <v>652</v>
      </c>
    </row>
    <row r="9" spans="1:16" x14ac:dyDescent="0.45">
      <c r="A9" s="22"/>
      <c r="B9" s="22" t="s">
        <v>42</v>
      </c>
      <c r="C9" s="10" t="s">
        <v>3</v>
      </c>
      <c r="D9" s="23">
        <v>2012</v>
      </c>
      <c r="E9" s="24">
        <v>1</v>
      </c>
      <c r="F9" s="25">
        <v>1</v>
      </c>
      <c r="H9" s="26"/>
      <c r="I9" s="27"/>
      <c r="J9" s="26"/>
      <c r="K9" s="27"/>
      <c r="L9" s="26"/>
      <c r="N9" s="47" t="s">
        <v>524</v>
      </c>
      <c r="O9" s="47" t="s">
        <v>618</v>
      </c>
      <c r="P9" s="47" t="s">
        <v>653</v>
      </c>
    </row>
    <row r="10" spans="1:16" x14ac:dyDescent="0.45">
      <c r="C10" s="11" t="s">
        <v>4</v>
      </c>
      <c r="D10" s="23">
        <f>サンプル採取日FROM</f>
        <v>2012</v>
      </c>
      <c r="E10" s="24">
        <v>12</v>
      </c>
      <c r="F10" s="25">
        <v>31</v>
      </c>
      <c r="H10" s="26"/>
      <c r="I10" s="27"/>
      <c r="J10" s="26"/>
      <c r="K10" s="27"/>
      <c r="L10" s="26"/>
      <c r="N10" s="47" t="s">
        <v>525</v>
      </c>
      <c r="O10" s="47" t="s">
        <v>619</v>
      </c>
      <c r="P10" s="47" t="s">
        <v>654</v>
      </c>
    </row>
    <row r="11" spans="1:16" x14ac:dyDescent="0.45">
      <c r="H11" s="26"/>
      <c r="I11" s="27"/>
      <c r="J11" s="26"/>
      <c r="K11" s="27"/>
      <c r="L11" s="26"/>
      <c r="N11" s="47" t="s">
        <v>526</v>
      </c>
      <c r="O11" s="47" t="s">
        <v>620</v>
      </c>
      <c r="P11" s="47" t="s">
        <v>655</v>
      </c>
    </row>
    <row r="12" spans="1:16" x14ac:dyDescent="0.45">
      <c r="H12" s="26"/>
      <c r="I12" s="27"/>
      <c r="J12" s="26"/>
      <c r="K12" s="27"/>
      <c r="L12" s="26"/>
      <c r="N12" s="47" t="s">
        <v>527</v>
      </c>
      <c r="O12" s="47" t="s">
        <v>621</v>
      </c>
      <c r="P12" s="47" t="s">
        <v>656</v>
      </c>
    </row>
    <row r="13" spans="1:16" x14ac:dyDescent="0.45">
      <c r="H13" s="26"/>
      <c r="I13" s="27"/>
      <c r="J13" s="26"/>
      <c r="K13" s="27"/>
      <c r="L13" s="26"/>
      <c r="N13" s="47" t="s">
        <v>528</v>
      </c>
      <c r="O13" s="47" t="s">
        <v>622</v>
      </c>
      <c r="P13" s="47" t="s">
        <v>657</v>
      </c>
    </row>
    <row r="14" spans="1:16" x14ac:dyDescent="0.45">
      <c r="H14" s="26"/>
      <c r="I14" s="27"/>
      <c r="J14" s="26"/>
      <c r="K14" s="27"/>
      <c r="L14" s="26"/>
      <c r="N14" s="47" t="s">
        <v>529</v>
      </c>
      <c r="O14" s="47" t="s">
        <v>623</v>
      </c>
      <c r="P14" s="47" t="s">
        <v>658</v>
      </c>
    </row>
    <row r="15" spans="1:16" x14ac:dyDescent="0.45">
      <c r="H15" s="26"/>
      <c r="I15" s="27"/>
      <c r="J15" s="26"/>
      <c r="K15" s="27"/>
      <c r="L15" s="26"/>
      <c r="N15" s="47" t="s">
        <v>530</v>
      </c>
      <c r="O15" s="47" t="s">
        <v>624</v>
      </c>
      <c r="P15" s="47" t="s">
        <v>659</v>
      </c>
    </row>
    <row r="16" spans="1:16" x14ac:dyDescent="0.45">
      <c r="H16" s="26"/>
      <c r="I16" s="27"/>
      <c r="J16" s="26"/>
      <c r="K16" s="27"/>
      <c r="L16" s="26"/>
      <c r="N16" s="47" t="s">
        <v>531</v>
      </c>
      <c r="O16" s="47" t="s">
        <v>625</v>
      </c>
      <c r="P16" s="47" t="s">
        <v>660</v>
      </c>
    </row>
    <row r="17" spans="8:16" x14ac:dyDescent="0.45">
      <c r="H17" s="26"/>
      <c r="I17" s="27"/>
      <c r="J17" s="26"/>
      <c r="K17" s="27"/>
      <c r="L17" s="26"/>
      <c r="N17" s="47" t="s">
        <v>532</v>
      </c>
      <c r="O17" s="47" t="s">
        <v>626</v>
      </c>
      <c r="P17" s="47" t="s">
        <v>661</v>
      </c>
    </row>
    <row r="18" spans="8:16" x14ac:dyDescent="0.45">
      <c r="H18" s="26"/>
      <c r="I18" s="27"/>
      <c r="J18" s="26"/>
      <c r="K18" s="27"/>
      <c r="L18" s="26"/>
      <c r="N18" s="47" t="s">
        <v>533</v>
      </c>
      <c r="O18" s="47" t="s">
        <v>627</v>
      </c>
      <c r="P18" s="47" t="s">
        <v>662</v>
      </c>
    </row>
    <row r="19" spans="8:16" x14ac:dyDescent="0.45">
      <c r="H19" s="26"/>
      <c r="I19" s="27"/>
      <c r="J19" s="26"/>
      <c r="K19" s="27"/>
      <c r="L19" s="26"/>
      <c r="N19" s="47" t="s">
        <v>534</v>
      </c>
      <c r="O19" s="47" t="s">
        <v>628</v>
      </c>
      <c r="P19" s="47" t="s">
        <v>663</v>
      </c>
    </row>
    <row r="20" spans="8:16" x14ac:dyDescent="0.45">
      <c r="H20" s="26"/>
      <c r="I20" s="27"/>
      <c r="J20" s="26"/>
      <c r="K20" s="27"/>
      <c r="L20" s="26"/>
      <c r="N20" s="47" t="s">
        <v>535</v>
      </c>
      <c r="O20" s="47" t="s">
        <v>629</v>
      </c>
      <c r="P20" s="47" t="s">
        <v>664</v>
      </c>
    </row>
    <row r="21" spans="8:16" x14ac:dyDescent="0.45">
      <c r="H21" s="26"/>
      <c r="I21" s="27"/>
      <c r="J21" s="26"/>
      <c r="K21" s="27"/>
      <c r="L21" s="26"/>
      <c r="N21" s="47" t="s">
        <v>536</v>
      </c>
      <c r="O21" s="47" t="s">
        <v>630</v>
      </c>
      <c r="P21" s="47" t="s">
        <v>665</v>
      </c>
    </row>
    <row r="22" spans="8:16" x14ac:dyDescent="0.45">
      <c r="H22" s="26"/>
      <c r="I22" s="27"/>
      <c r="J22" s="26"/>
      <c r="K22" s="27"/>
      <c r="L22" s="26"/>
      <c r="N22" s="47" t="s">
        <v>537</v>
      </c>
      <c r="O22" s="47" t="s">
        <v>631</v>
      </c>
      <c r="P22" s="47" t="s">
        <v>666</v>
      </c>
    </row>
    <row r="23" spans="8:16" x14ac:dyDescent="0.45">
      <c r="H23" s="26"/>
      <c r="I23" s="27"/>
      <c r="J23" s="26"/>
      <c r="K23" s="27"/>
      <c r="L23" s="26"/>
      <c r="N23" s="47" t="s">
        <v>538</v>
      </c>
      <c r="O23" s="47" t="s">
        <v>632</v>
      </c>
      <c r="P23" s="47" t="s">
        <v>667</v>
      </c>
    </row>
    <row r="24" spans="8:16" x14ac:dyDescent="0.45">
      <c r="H24" s="26"/>
      <c r="I24" s="27"/>
      <c r="J24" s="26"/>
      <c r="K24" s="27"/>
      <c r="L24" s="26"/>
      <c r="N24" s="47" t="s">
        <v>539</v>
      </c>
      <c r="O24" s="47" t="s">
        <v>633</v>
      </c>
      <c r="P24" s="47" t="s">
        <v>668</v>
      </c>
    </row>
    <row r="25" spans="8:16" x14ac:dyDescent="0.45">
      <c r="H25" s="26"/>
      <c r="I25" s="27"/>
      <c r="J25" s="26"/>
      <c r="K25" s="27"/>
      <c r="L25" s="26"/>
      <c r="N25" s="47" t="s">
        <v>540</v>
      </c>
      <c r="O25" s="47" t="s">
        <v>634</v>
      </c>
      <c r="P25" s="47" t="s">
        <v>669</v>
      </c>
    </row>
    <row r="26" spans="8:16" x14ac:dyDescent="0.45">
      <c r="H26" s="26"/>
      <c r="I26" s="27"/>
      <c r="J26" s="26"/>
      <c r="K26" s="27"/>
      <c r="L26" s="26"/>
      <c r="N26" s="47" t="s">
        <v>541</v>
      </c>
      <c r="O26" s="47" t="s">
        <v>635</v>
      </c>
      <c r="P26" s="47" t="s">
        <v>670</v>
      </c>
    </row>
    <row r="27" spans="8:16" x14ac:dyDescent="0.45">
      <c r="H27" s="26"/>
      <c r="I27" s="27"/>
      <c r="J27" s="26"/>
      <c r="K27" s="27"/>
      <c r="L27" s="26"/>
      <c r="N27" s="47" t="s">
        <v>542</v>
      </c>
      <c r="O27" s="47" t="s">
        <v>636</v>
      </c>
      <c r="P27" s="47" t="s">
        <v>671</v>
      </c>
    </row>
    <row r="28" spans="8:16" x14ac:dyDescent="0.45">
      <c r="H28" s="26"/>
      <c r="I28" s="27"/>
      <c r="J28" s="26"/>
      <c r="K28" s="27"/>
      <c r="L28" s="26"/>
      <c r="N28" s="47" t="s">
        <v>543</v>
      </c>
      <c r="O28" s="47" t="s">
        <v>637</v>
      </c>
      <c r="P28" s="47" t="s">
        <v>672</v>
      </c>
    </row>
    <row r="29" spans="8:16" x14ac:dyDescent="0.45">
      <c r="H29" s="26"/>
      <c r="I29" s="27"/>
      <c r="J29" s="26"/>
      <c r="K29" s="27"/>
      <c r="L29" s="26"/>
      <c r="N29" s="47" t="s">
        <v>544</v>
      </c>
      <c r="O29" s="47" t="s">
        <v>638</v>
      </c>
      <c r="P29" s="47" t="s">
        <v>673</v>
      </c>
    </row>
    <row r="30" spans="8:16" x14ac:dyDescent="0.45">
      <c r="H30" s="26"/>
      <c r="I30" s="27"/>
      <c r="J30" s="26"/>
      <c r="K30" s="27"/>
      <c r="L30" s="26"/>
      <c r="N30" s="47" t="s">
        <v>545</v>
      </c>
      <c r="O30" s="47" t="s">
        <v>639</v>
      </c>
      <c r="P30" s="47" t="s">
        <v>674</v>
      </c>
    </row>
    <row r="31" spans="8:16" x14ac:dyDescent="0.45">
      <c r="H31" s="26"/>
      <c r="I31" s="27"/>
      <c r="J31" s="26"/>
      <c r="K31" s="27"/>
      <c r="L31" s="26"/>
      <c r="N31" s="47" t="s">
        <v>546</v>
      </c>
      <c r="O31" s="47" t="s">
        <v>640</v>
      </c>
      <c r="P31" s="47" t="s">
        <v>675</v>
      </c>
    </row>
    <row r="32" spans="8:16" x14ac:dyDescent="0.45">
      <c r="H32" s="26"/>
      <c r="I32" s="27"/>
      <c r="J32" s="26"/>
      <c r="K32" s="27"/>
      <c r="L32" s="26"/>
      <c r="N32" s="47" t="s">
        <v>547</v>
      </c>
      <c r="O32" s="47" t="s">
        <v>641</v>
      </c>
      <c r="P32" s="47" t="s">
        <v>676</v>
      </c>
    </row>
    <row r="33" spans="8:16" x14ac:dyDescent="0.45">
      <c r="H33" s="26"/>
      <c r="I33" s="27"/>
      <c r="J33" s="26"/>
      <c r="K33" s="27"/>
      <c r="L33" s="26"/>
      <c r="N33" s="47" t="s">
        <v>548</v>
      </c>
      <c r="O33" s="47" t="s">
        <v>642</v>
      </c>
      <c r="P33" s="47" t="s">
        <v>677</v>
      </c>
    </row>
    <row r="34" spans="8:16" x14ac:dyDescent="0.45">
      <c r="H34" s="26"/>
      <c r="I34" s="27"/>
      <c r="J34" s="26"/>
      <c r="K34" s="27"/>
      <c r="L34" s="26"/>
      <c r="N34" s="47" t="s">
        <v>549</v>
      </c>
      <c r="O34" s="47" t="s">
        <v>643</v>
      </c>
      <c r="P34" s="47" t="s">
        <v>678</v>
      </c>
    </row>
    <row r="35" spans="8:16" x14ac:dyDescent="0.45">
      <c r="H35" s="26"/>
      <c r="I35" s="27"/>
      <c r="J35" s="26"/>
      <c r="K35" s="27"/>
      <c r="L35" s="26"/>
      <c r="N35" s="47" t="s">
        <v>550</v>
      </c>
      <c r="O35" s="47" t="s">
        <v>644</v>
      </c>
      <c r="P35" s="47" t="s">
        <v>679</v>
      </c>
    </row>
    <row r="36" spans="8:16" x14ac:dyDescent="0.45">
      <c r="H36" s="26"/>
      <c r="I36" s="27"/>
      <c r="J36" s="26"/>
      <c r="K36" s="27"/>
      <c r="L36" s="26"/>
      <c r="N36" s="47" t="s">
        <v>551</v>
      </c>
      <c r="O36" s="47" t="s">
        <v>645</v>
      </c>
      <c r="P36" s="47" t="s">
        <v>680</v>
      </c>
    </row>
    <row r="37" spans="8:16" x14ac:dyDescent="0.45">
      <c r="H37" s="26"/>
      <c r="I37" s="27"/>
      <c r="J37" s="26"/>
      <c r="K37" s="27"/>
      <c r="L37" s="26"/>
      <c r="N37" s="47" t="s">
        <v>552</v>
      </c>
      <c r="O37" s="47" t="s">
        <v>646</v>
      </c>
      <c r="P37" s="47" t="s">
        <v>681</v>
      </c>
    </row>
    <row r="38" spans="8:16" x14ac:dyDescent="0.45">
      <c r="H38" s="26"/>
      <c r="I38" s="27"/>
      <c r="J38" s="26"/>
      <c r="K38" s="27"/>
      <c r="L38" s="26"/>
      <c r="N38" s="47" t="s">
        <v>553</v>
      </c>
      <c r="O38" s="47" t="s">
        <v>647</v>
      </c>
      <c r="P38" s="47" t="s">
        <v>682</v>
      </c>
    </row>
    <row r="39" spans="8:16" x14ac:dyDescent="0.45">
      <c r="H39" s="26"/>
      <c r="I39" s="27"/>
      <c r="J39" s="26"/>
      <c r="K39" s="27"/>
      <c r="L39" s="26"/>
      <c r="N39" s="47" t="s">
        <v>554</v>
      </c>
      <c r="O39" s="47" t="s">
        <v>648</v>
      </c>
      <c r="P39" s="47" t="s">
        <v>683</v>
      </c>
    </row>
    <row r="40" spans="8:16" x14ac:dyDescent="0.45">
      <c r="H40" s="26"/>
      <c r="I40" s="27"/>
      <c r="J40" s="26"/>
      <c r="K40" s="27"/>
      <c r="L40" s="26"/>
      <c r="N40" s="47" t="s">
        <v>555</v>
      </c>
      <c r="O40" s="47" t="s">
        <v>649</v>
      </c>
      <c r="P40" s="47" t="s">
        <v>684</v>
      </c>
    </row>
    <row r="41" spans="8:16" x14ac:dyDescent="0.45">
      <c r="H41" s="26"/>
      <c r="I41" s="27"/>
      <c r="J41" s="26"/>
      <c r="K41" s="27"/>
      <c r="L41" s="26"/>
      <c r="N41" s="47" t="s">
        <v>556</v>
      </c>
      <c r="O41" s="54" t="s">
        <v>650</v>
      </c>
      <c r="P41" s="47" t="s">
        <v>685</v>
      </c>
    </row>
    <row r="42" spans="8:16" x14ac:dyDescent="0.45">
      <c r="H42" s="26"/>
      <c r="I42" s="27"/>
      <c r="J42" s="26"/>
      <c r="K42" s="27"/>
      <c r="L42" s="26"/>
      <c r="N42" s="47" t="s">
        <v>557</v>
      </c>
      <c r="P42" s="47" t="s">
        <v>686</v>
      </c>
    </row>
    <row r="43" spans="8:16" x14ac:dyDescent="0.45">
      <c r="H43" s="26"/>
      <c r="I43" s="27"/>
      <c r="J43" s="26"/>
      <c r="K43" s="27"/>
      <c r="L43" s="26"/>
      <c r="N43" s="47" t="s">
        <v>558</v>
      </c>
      <c r="P43" s="47" t="s">
        <v>687</v>
      </c>
    </row>
    <row r="44" spans="8:16" x14ac:dyDescent="0.45">
      <c r="H44" s="26"/>
      <c r="I44" s="27"/>
      <c r="J44" s="26"/>
      <c r="K44" s="27"/>
      <c r="L44" s="26"/>
      <c r="N44" s="47" t="s">
        <v>559</v>
      </c>
      <c r="P44" s="47" t="s">
        <v>688</v>
      </c>
    </row>
    <row r="45" spans="8:16" x14ac:dyDescent="0.45">
      <c r="H45" s="26"/>
      <c r="I45" s="27"/>
      <c r="J45" s="26"/>
      <c r="K45" s="27"/>
      <c r="L45" s="26"/>
      <c r="N45" s="47" t="s">
        <v>560</v>
      </c>
      <c r="P45" s="47" t="s">
        <v>689</v>
      </c>
    </row>
    <row r="46" spans="8:16" x14ac:dyDescent="0.45">
      <c r="H46" s="26"/>
      <c r="I46" s="27"/>
      <c r="J46" s="26"/>
      <c r="K46" s="27"/>
      <c r="L46" s="26"/>
      <c r="N46" s="47" t="s">
        <v>561</v>
      </c>
      <c r="P46" s="47" t="s">
        <v>690</v>
      </c>
    </row>
    <row r="47" spans="8:16" x14ac:dyDescent="0.45">
      <c r="H47" s="26"/>
      <c r="I47" s="27"/>
      <c r="J47" s="26"/>
      <c r="K47" s="27"/>
      <c r="L47" s="26"/>
      <c r="N47" s="47" t="s">
        <v>562</v>
      </c>
      <c r="P47" s="47" t="s">
        <v>691</v>
      </c>
    </row>
    <row r="48" spans="8:16" x14ac:dyDescent="0.45">
      <c r="H48" s="26"/>
      <c r="I48" s="27"/>
      <c r="J48" s="26"/>
      <c r="K48" s="27"/>
      <c r="L48" s="26"/>
      <c r="N48" s="47" t="s">
        <v>563</v>
      </c>
      <c r="P48" s="47" t="s">
        <v>692</v>
      </c>
    </row>
    <row r="49" spans="8:16" x14ac:dyDescent="0.45">
      <c r="H49" s="26"/>
      <c r="I49" s="27"/>
      <c r="J49" s="26"/>
      <c r="K49" s="27"/>
      <c r="L49" s="26"/>
      <c r="N49" s="47" t="s">
        <v>564</v>
      </c>
      <c r="P49" s="47" t="s">
        <v>693</v>
      </c>
    </row>
    <row r="50" spans="8:16" x14ac:dyDescent="0.45">
      <c r="H50" s="26"/>
      <c r="I50" s="27"/>
      <c r="J50" s="26"/>
      <c r="K50" s="27"/>
      <c r="L50" s="26"/>
      <c r="N50" s="47" t="s">
        <v>565</v>
      </c>
      <c r="P50" s="47" t="s">
        <v>694</v>
      </c>
    </row>
    <row r="51" spans="8:16" x14ac:dyDescent="0.45">
      <c r="H51" s="29"/>
      <c r="I51" s="27"/>
      <c r="J51" s="29"/>
      <c r="K51" s="27"/>
      <c r="L51" s="29"/>
      <c r="N51" s="47" t="s">
        <v>566</v>
      </c>
      <c r="P51" s="47" t="s">
        <v>695</v>
      </c>
    </row>
    <row r="52" spans="8:16" x14ac:dyDescent="0.45">
      <c r="N52" s="47" t="s">
        <v>567</v>
      </c>
      <c r="P52" s="47" t="s">
        <v>696</v>
      </c>
    </row>
    <row r="53" spans="8:16" x14ac:dyDescent="0.45">
      <c r="N53" s="47" t="s">
        <v>568</v>
      </c>
      <c r="P53" s="47" t="s">
        <v>697</v>
      </c>
    </row>
    <row r="54" spans="8:16" x14ac:dyDescent="0.45">
      <c r="N54" s="47" t="s">
        <v>569</v>
      </c>
      <c r="P54" s="47" t="s">
        <v>698</v>
      </c>
    </row>
    <row r="55" spans="8:16" x14ac:dyDescent="0.45">
      <c r="N55" s="47" t="s">
        <v>570</v>
      </c>
      <c r="P55" s="47" t="s">
        <v>699</v>
      </c>
    </row>
    <row r="56" spans="8:16" x14ac:dyDescent="0.45">
      <c r="N56" s="47" t="s">
        <v>571</v>
      </c>
      <c r="P56" s="47" t="s">
        <v>700</v>
      </c>
    </row>
    <row r="57" spans="8:16" x14ac:dyDescent="0.45">
      <c r="N57" s="47" t="s">
        <v>572</v>
      </c>
      <c r="P57" s="47" t="s">
        <v>701</v>
      </c>
    </row>
    <row r="58" spans="8:16" x14ac:dyDescent="0.45">
      <c r="N58" s="47" t="s">
        <v>573</v>
      </c>
      <c r="P58" s="47" t="s">
        <v>702</v>
      </c>
    </row>
    <row r="59" spans="8:16" x14ac:dyDescent="0.45">
      <c r="N59" s="47" t="s">
        <v>574</v>
      </c>
      <c r="P59" s="47" t="s">
        <v>703</v>
      </c>
    </row>
    <row r="60" spans="8:16" x14ac:dyDescent="0.45">
      <c r="N60" s="47" t="s">
        <v>575</v>
      </c>
      <c r="P60" s="47" t="s">
        <v>704</v>
      </c>
    </row>
    <row r="61" spans="8:16" x14ac:dyDescent="0.45">
      <c r="N61" s="47" t="s">
        <v>576</v>
      </c>
      <c r="P61" s="47" t="s">
        <v>705</v>
      </c>
    </row>
    <row r="62" spans="8:16" x14ac:dyDescent="0.45">
      <c r="N62" s="47" t="s">
        <v>577</v>
      </c>
      <c r="P62" s="47" t="s">
        <v>706</v>
      </c>
    </row>
    <row r="63" spans="8:16" x14ac:dyDescent="0.45">
      <c r="N63" s="47" t="s">
        <v>578</v>
      </c>
      <c r="P63" s="47" t="s">
        <v>707</v>
      </c>
    </row>
    <row r="64" spans="8:16" x14ac:dyDescent="0.45">
      <c r="N64" s="47" t="s">
        <v>579</v>
      </c>
      <c r="P64" s="47" t="s">
        <v>708</v>
      </c>
    </row>
    <row r="65" spans="14:16" x14ac:dyDescent="0.45">
      <c r="N65" s="47" t="s">
        <v>580</v>
      </c>
      <c r="P65" s="47" t="s">
        <v>709</v>
      </c>
    </row>
    <row r="66" spans="14:16" x14ac:dyDescent="0.45">
      <c r="N66" s="47" t="s">
        <v>581</v>
      </c>
      <c r="P66" s="47" t="s">
        <v>710</v>
      </c>
    </row>
    <row r="67" spans="14:16" x14ac:dyDescent="0.45">
      <c r="N67" s="47" t="s">
        <v>582</v>
      </c>
      <c r="P67" s="47" t="s">
        <v>711</v>
      </c>
    </row>
    <row r="68" spans="14:16" x14ac:dyDescent="0.45">
      <c r="N68" s="47" t="s">
        <v>583</v>
      </c>
      <c r="P68" s="47" t="s">
        <v>712</v>
      </c>
    </row>
    <row r="69" spans="14:16" x14ac:dyDescent="0.45">
      <c r="N69" s="47" t="s">
        <v>584</v>
      </c>
      <c r="P69" s="47" t="s">
        <v>713</v>
      </c>
    </row>
    <row r="70" spans="14:16" x14ac:dyDescent="0.45">
      <c r="N70" s="47" t="s">
        <v>585</v>
      </c>
      <c r="P70" s="47" t="s">
        <v>714</v>
      </c>
    </row>
    <row r="71" spans="14:16" x14ac:dyDescent="0.45">
      <c r="N71" s="47" t="s">
        <v>586</v>
      </c>
      <c r="P71" s="47" t="s">
        <v>715</v>
      </c>
    </row>
    <row r="72" spans="14:16" x14ac:dyDescent="0.45">
      <c r="N72" s="47" t="s">
        <v>587</v>
      </c>
      <c r="P72" s="47" t="s">
        <v>716</v>
      </c>
    </row>
    <row r="73" spans="14:16" x14ac:dyDescent="0.45">
      <c r="N73" s="47" t="s">
        <v>588</v>
      </c>
      <c r="P73" s="47" t="s">
        <v>717</v>
      </c>
    </row>
    <row r="74" spans="14:16" x14ac:dyDescent="0.45">
      <c r="N74" s="47" t="s">
        <v>589</v>
      </c>
      <c r="P74" s="47" t="s">
        <v>718</v>
      </c>
    </row>
    <row r="75" spans="14:16" x14ac:dyDescent="0.45">
      <c r="N75" s="47" t="s">
        <v>590</v>
      </c>
      <c r="P75" s="47" t="s">
        <v>719</v>
      </c>
    </row>
    <row r="76" spans="14:16" x14ac:dyDescent="0.45">
      <c r="N76" s="47" t="s">
        <v>591</v>
      </c>
      <c r="P76" s="47" t="s">
        <v>720</v>
      </c>
    </row>
    <row r="77" spans="14:16" x14ac:dyDescent="0.45">
      <c r="N77" s="47" t="s">
        <v>592</v>
      </c>
      <c r="P77" s="47" t="s">
        <v>721</v>
      </c>
    </row>
    <row r="78" spans="14:16" x14ac:dyDescent="0.45">
      <c r="N78" s="47" t="s">
        <v>593</v>
      </c>
      <c r="P78" s="47" t="s">
        <v>722</v>
      </c>
    </row>
    <row r="79" spans="14:16" x14ac:dyDescent="0.45">
      <c r="N79" s="47" t="s">
        <v>594</v>
      </c>
      <c r="P79" s="47" t="s">
        <v>723</v>
      </c>
    </row>
    <row r="80" spans="14:16" x14ac:dyDescent="0.45">
      <c r="N80" s="47" t="s">
        <v>595</v>
      </c>
      <c r="P80" s="47" t="s">
        <v>724</v>
      </c>
    </row>
    <row r="81" spans="14:16" x14ac:dyDescent="0.45">
      <c r="N81" s="47" t="s">
        <v>596</v>
      </c>
      <c r="P81" s="47" t="s">
        <v>725</v>
      </c>
    </row>
    <row r="82" spans="14:16" x14ac:dyDescent="0.45">
      <c r="N82" s="47" t="s">
        <v>597</v>
      </c>
      <c r="P82" s="47" t="s">
        <v>726</v>
      </c>
    </row>
    <row r="83" spans="14:16" x14ac:dyDescent="0.45">
      <c r="N83" s="47" t="s">
        <v>598</v>
      </c>
      <c r="P83" s="47" t="s">
        <v>727</v>
      </c>
    </row>
    <row r="84" spans="14:16" x14ac:dyDescent="0.45">
      <c r="N84" s="47" t="s">
        <v>599</v>
      </c>
      <c r="P84" s="47" t="s">
        <v>728</v>
      </c>
    </row>
    <row r="85" spans="14:16" x14ac:dyDescent="0.45">
      <c r="N85" s="47" t="s">
        <v>600</v>
      </c>
      <c r="P85" s="47" t="s">
        <v>729</v>
      </c>
    </row>
    <row r="86" spans="14:16" x14ac:dyDescent="0.45">
      <c r="N86" s="47" t="s">
        <v>601</v>
      </c>
      <c r="P86" s="47" t="s">
        <v>730</v>
      </c>
    </row>
    <row r="87" spans="14:16" x14ac:dyDescent="0.45">
      <c r="N87" s="47" t="s">
        <v>602</v>
      </c>
      <c r="P87" s="47" t="s">
        <v>731</v>
      </c>
    </row>
    <row r="88" spans="14:16" x14ac:dyDescent="0.45">
      <c r="N88" s="47" t="s">
        <v>603</v>
      </c>
      <c r="P88" s="47" t="s">
        <v>732</v>
      </c>
    </row>
    <row r="89" spans="14:16" x14ac:dyDescent="0.45">
      <c r="N89" s="47" t="s">
        <v>604</v>
      </c>
      <c r="P89" s="47" t="s">
        <v>733</v>
      </c>
    </row>
    <row r="90" spans="14:16" x14ac:dyDescent="0.45">
      <c r="N90" s="47" t="s">
        <v>605</v>
      </c>
      <c r="P90" s="47" t="s">
        <v>734</v>
      </c>
    </row>
    <row r="91" spans="14:16" x14ac:dyDescent="0.45">
      <c r="N91" s="47" t="s">
        <v>606</v>
      </c>
      <c r="P91" s="47" t="s">
        <v>735</v>
      </c>
    </row>
    <row r="92" spans="14:16" x14ac:dyDescent="0.45">
      <c r="N92" s="47" t="s">
        <v>607</v>
      </c>
      <c r="P92" s="47" t="s">
        <v>736</v>
      </c>
    </row>
    <row r="93" spans="14:16" x14ac:dyDescent="0.45">
      <c r="N93" s="47" t="s">
        <v>608</v>
      </c>
      <c r="P93" s="47" t="s">
        <v>737</v>
      </c>
    </row>
    <row r="94" spans="14:16" x14ac:dyDescent="0.45">
      <c r="N94" s="47" t="s">
        <v>609</v>
      </c>
      <c r="P94" s="47" t="s">
        <v>738</v>
      </c>
    </row>
    <row r="95" spans="14:16" x14ac:dyDescent="0.45">
      <c r="N95" s="47" t="s">
        <v>610</v>
      </c>
      <c r="P95" s="47" t="s">
        <v>739</v>
      </c>
    </row>
    <row r="96" spans="14:16" x14ac:dyDescent="0.45">
      <c r="N96" s="47" t="s">
        <v>611</v>
      </c>
      <c r="P96" s="47" t="s">
        <v>740</v>
      </c>
    </row>
    <row r="97" spans="14:16" x14ac:dyDescent="0.45">
      <c r="N97" s="47" t="s">
        <v>612</v>
      </c>
      <c r="P97" s="47" t="s">
        <v>741</v>
      </c>
    </row>
    <row r="98" spans="14:16" x14ac:dyDescent="0.45">
      <c r="N98" s="47" t="s">
        <v>613</v>
      </c>
      <c r="P98" s="47" t="s">
        <v>742</v>
      </c>
    </row>
    <row r="99" spans="14:16" x14ac:dyDescent="0.45">
      <c r="N99" s="47" t="s">
        <v>614</v>
      </c>
      <c r="P99" s="47" t="s">
        <v>743</v>
      </c>
    </row>
    <row r="100" spans="14:16" x14ac:dyDescent="0.45">
      <c r="N100" s="54" t="s">
        <v>615</v>
      </c>
      <c r="P100" s="47" t="s">
        <v>744</v>
      </c>
    </row>
    <row r="101" spans="14:16" x14ac:dyDescent="0.45">
      <c r="P101" s="54" t="s">
        <v>745</v>
      </c>
    </row>
  </sheetData>
  <dataConsolidate/>
  <mergeCells count="2">
    <mergeCell ref="D5:E5"/>
    <mergeCell ref="D6:E6"/>
  </mergeCells>
  <phoneticPr fontId="13"/>
  <dataValidations count="4">
    <dataValidation type="whole" imeMode="disabled" operator="greaterThan" allowBlank="1" showInputMessage="1" showErrorMessage="1" sqref="D9:D10" xr:uid="{00000000-0002-0000-0000-000000000000}">
      <formula1>2006</formula1>
    </dataValidation>
    <dataValidation type="whole" allowBlank="1" showInputMessage="1" showErrorMessage="1" sqref="E9:E10" xr:uid="{00000000-0002-0000-0000-000001000000}">
      <formula1>1</formula1>
      <formula2>12</formula2>
    </dataValidation>
    <dataValidation type="whole" allowBlank="1" showInputMessage="1" showErrorMessage="1" sqref="F9:F10" xr:uid="{00000000-0002-0000-0000-000002000000}">
      <formula1>1</formula1>
      <formula2>31</formula2>
    </dataValidation>
    <dataValidation type="list" allowBlank="1" showInputMessage="1" showErrorMessage="1" sqref="D5:E5" xr:uid="{00000000-0002-0000-0000-000003000000}">
      <formula1>"WH,TA,DO,SA"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0" r:id="rId4" name="opCsvFlg">
          <controlPr autoLine="0" autoPict="0" r:id="rId5">
            <anchor moveWithCells="1">
              <from>
                <xdr:col>2</xdr:col>
                <xdr:colOff>914400</xdr:colOff>
                <xdr:row>1</xdr:row>
                <xdr:rowOff>190500</xdr:rowOff>
              </from>
              <to>
                <xdr:col>2</xdr:col>
                <xdr:colOff>1657350</xdr:colOff>
                <xdr:row>3</xdr:row>
                <xdr:rowOff>57150</xdr:rowOff>
              </to>
            </anchor>
          </controlPr>
        </control>
      </mc:Choice>
      <mc:Fallback>
        <control shapeId="1040" r:id="rId4" name="opCsvFlg"/>
      </mc:Fallback>
    </mc:AlternateContent>
    <mc:AlternateContent xmlns:mc="http://schemas.openxmlformats.org/markup-compatibility/2006">
      <mc:Choice Requires="x14">
        <control shapeId="1039" r:id="rId6" name="opSearchFlg">
          <controlPr autoLine="0" autoPict="0" r:id="rId7">
            <anchor moveWithCells="1">
              <from>
                <xdr:col>2</xdr:col>
                <xdr:colOff>914400</xdr:colOff>
                <xdr:row>0</xdr:row>
                <xdr:rowOff>171450</xdr:rowOff>
              </from>
              <to>
                <xdr:col>2</xdr:col>
                <xdr:colOff>1657350</xdr:colOff>
                <xdr:row>2</xdr:row>
                <xdr:rowOff>38100</xdr:rowOff>
              </to>
            </anchor>
          </controlPr>
        </control>
      </mc:Choice>
      <mc:Fallback>
        <control shapeId="1039" r:id="rId6" name="opSearchFlg"/>
      </mc:Fallback>
    </mc:AlternateContent>
    <mc:AlternateContent xmlns:mc="http://schemas.openxmlformats.org/markup-compatibility/2006">
      <mc:Choice Requires="x14">
        <control shapeId="1041" r:id="rId8" name="tbFolderPath">
          <controlPr autoLine="0" r:id="rId9">
            <anchor moveWithCells="1">
              <from>
                <xdr:col>3</xdr:col>
                <xdr:colOff>114300</xdr:colOff>
                <xdr:row>2</xdr:row>
                <xdr:rowOff>19050</xdr:rowOff>
              </from>
              <to>
                <xdr:col>14</xdr:col>
                <xdr:colOff>200025</xdr:colOff>
                <xdr:row>3</xdr:row>
                <xdr:rowOff>47625</xdr:rowOff>
              </to>
            </anchor>
          </controlPr>
        </control>
      </mc:Choice>
      <mc:Fallback>
        <control shapeId="1041" r:id="rId8" name="tbFolderPath"/>
      </mc:Fallback>
    </mc:AlternateContent>
    <mc:AlternateContent xmlns:mc="http://schemas.openxmlformats.org/markup-compatibility/2006">
      <mc:Choice Requires="x14">
        <control shapeId="1029" r:id="rId10" name="Button 5">
          <controlPr defaultSize="0" print="0" autoFill="0" autoPict="0" macro="[0]!shtSearch.実行ボタン_Click">
            <anchor moveWithCells="1">
              <from>
                <xdr:col>2</xdr:col>
                <xdr:colOff>114300</xdr:colOff>
                <xdr:row>1</xdr:row>
                <xdr:rowOff>19050</xdr:rowOff>
              </from>
              <to>
                <xdr:col>2</xdr:col>
                <xdr:colOff>781050</xdr:colOff>
                <xdr:row>2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11" name="Button 18">
          <controlPr defaultSize="0" print="0" autoFill="0" autoPict="0" macro="[0]!shtSearch.参照ボタン_Click">
            <anchor moveWithCells="1">
              <from>
                <xdr:col>14</xdr:col>
                <xdr:colOff>323850</xdr:colOff>
                <xdr:row>2</xdr:row>
                <xdr:rowOff>9525</xdr:rowOff>
              </from>
              <to>
                <xdr:col>14</xdr:col>
                <xdr:colOff>790575</xdr:colOff>
                <xdr:row>3</xdr:row>
                <xdr:rowOff>47625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000-000004000000}">
          <x14:formula1>
            <xm:f>フィールド一覧!$B$3:$B$226</xm:f>
          </x14:formula1>
          <xm:sqref>N7:N100 O7:O41 P7:P101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Data">
    <tabColor theme="9"/>
  </sheetPr>
  <dimension ref="A1:HQ3"/>
  <sheetViews>
    <sheetView workbookViewId="0">
      <selection activeCell="H8" sqref="H8"/>
    </sheetView>
  </sheetViews>
  <sheetFormatPr defaultRowHeight="18.75" x14ac:dyDescent="0.45"/>
  <cols>
    <col min="1" max="1" width="13" customWidth="1"/>
    <col min="2" max="2" width="7.44140625" bestFit="1" customWidth="1"/>
    <col min="3" max="3" width="16.5546875" bestFit="1" customWidth="1"/>
    <col min="4" max="4" width="13.88671875" bestFit="1" customWidth="1"/>
    <col min="5" max="5" width="11.21875" bestFit="1" customWidth="1"/>
    <col min="6" max="6" width="8.6640625" bestFit="1" customWidth="1"/>
    <col min="7" max="7" width="10" bestFit="1" customWidth="1"/>
    <col min="8" max="8" width="7.5546875" bestFit="1" customWidth="1"/>
    <col min="9" max="9" width="11" bestFit="1" customWidth="1"/>
    <col min="10" max="10" width="8.44140625" bestFit="1" customWidth="1"/>
    <col min="11" max="11" width="13.6640625" bestFit="1" customWidth="1"/>
    <col min="12" max="13" width="12.33203125" bestFit="1" customWidth="1"/>
    <col min="14" max="31" width="16.21875" customWidth="1"/>
  </cols>
  <sheetData>
    <row r="1" spans="1:225" s="38" customFormat="1" ht="14.25" x14ac:dyDescent="0.45">
      <c r="A1" s="48" t="s">
        <v>922</v>
      </c>
      <c r="B1" s="45" t="s">
        <v>747</v>
      </c>
      <c r="C1" s="45" t="s">
        <v>748</v>
      </c>
      <c r="D1" s="45" t="s">
        <v>50</v>
      </c>
      <c r="E1" s="45" t="s">
        <v>52</v>
      </c>
      <c r="F1" s="45" t="s">
        <v>46</v>
      </c>
      <c r="G1" s="45" t="s">
        <v>65</v>
      </c>
      <c r="H1" s="45" t="s">
        <v>70</v>
      </c>
      <c r="I1" s="45" t="s">
        <v>61</v>
      </c>
      <c r="J1" s="45" t="s">
        <v>749</v>
      </c>
      <c r="K1" s="45" t="s">
        <v>79</v>
      </c>
      <c r="L1" s="45" t="s">
        <v>750</v>
      </c>
      <c r="M1" s="45" t="s">
        <v>62</v>
      </c>
      <c r="N1" s="45" t="s">
        <v>751</v>
      </c>
      <c r="O1" s="45" t="s">
        <v>87</v>
      </c>
      <c r="P1" s="45" t="s">
        <v>75</v>
      </c>
      <c r="Q1" s="45" t="s">
        <v>752</v>
      </c>
      <c r="R1" s="45" t="s">
        <v>76</v>
      </c>
      <c r="S1" s="45" t="s">
        <v>753</v>
      </c>
      <c r="T1" s="45" t="s">
        <v>754</v>
      </c>
      <c r="U1" s="45" t="s">
        <v>58</v>
      </c>
      <c r="V1" s="45" t="s">
        <v>755</v>
      </c>
      <c r="W1" s="45" t="s">
        <v>96</v>
      </c>
      <c r="X1" s="45" t="s">
        <v>756</v>
      </c>
      <c r="Y1" s="45" t="s">
        <v>55</v>
      </c>
      <c r="Z1" s="45" t="s">
        <v>54</v>
      </c>
      <c r="AA1" s="45" t="s">
        <v>71</v>
      </c>
      <c r="AB1" s="45" t="s">
        <v>47</v>
      </c>
      <c r="AC1" s="45" t="s">
        <v>63</v>
      </c>
      <c r="AD1" s="45" t="s">
        <v>78</v>
      </c>
      <c r="AE1" s="45" t="s">
        <v>53</v>
      </c>
      <c r="AF1" s="45" t="s">
        <v>80</v>
      </c>
      <c r="AG1" s="45" t="s">
        <v>757</v>
      </c>
      <c r="AH1" s="45" t="s">
        <v>83</v>
      </c>
      <c r="AI1" s="45" t="s">
        <v>60</v>
      </c>
      <c r="AJ1" s="45" t="s">
        <v>88</v>
      </c>
      <c r="AK1" s="45" t="s">
        <v>82</v>
      </c>
      <c r="AL1" s="45" t="s">
        <v>81</v>
      </c>
      <c r="AM1" s="45" t="s">
        <v>758</v>
      </c>
      <c r="AN1" s="45" t="s">
        <v>97</v>
      </c>
      <c r="AO1" s="45" t="s">
        <v>72</v>
      </c>
      <c r="AP1" s="45" t="s">
        <v>759</v>
      </c>
      <c r="AQ1" s="45" t="s">
        <v>760</v>
      </c>
      <c r="AR1" s="45" t="s">
        <v>761</v>
      </c>
      <c r="AS1" s="45" t="s">
        <v>762</v>
      </c>
      <c r="AT1" s="45" t="s">
        <v>763</v>
      </c>
      <c r="AU1" s="45" t="s">
        <v>764</v>
      </c>
      <c r="AV1" s="45" t="s">
        <v>48</v>
      </c>
      <c r="AW1" s="45" t="s">
        <v>85</v>
      </c>
      <c r="AX1" s="45" t="s">
        <v>765</v>
      </c>
      <c r="AY1" s="45" t="s">
        <v>64</v>
      </c>
      <c r="AZ1" s="45" t="s">
        <v>766</v>
      </c>
      <c r="BA1" s="45" t="s">
        <v>767</v>
      </c>
      <c r="BB1" s="45" t="s">
        <v>66</v>
      </c>
      <c r="BC1" s="45" t="s">
        <v>67</v>
      </c>
      <c r="BD1" s="45" t="s">
        <v>73</v>
      </c>
      <c r="BE1" s="45" t="s">
        <v>768</v>
      </c>
      <c r="BF1" s="45" t="s">
        <v>77</v>
      </c>
      <c r="BG1" s="45" t="s">
        <v>769</v>
      </c>
      <c r="BH1" s="45" t="s">
        <v>84</v>
      </c>
      <c r="BI1" s="45" t="s">
        <v>770</v>
      </c>
      <c r="BJ1" s="45" t="s">
        <v>771</v>
      </c>
      <c r="BK1" s="45" t="s">
        <v>772</v>
      </c>
      <c r="BL1" s="45" t="s">
        <v>773</v>
      </c>
      <c r="BM1" s="45" t="s">
        <v>774</v>
      </c>
      <c r="BN1" s="45" t="s">
        <v>775</v>
      </c>
      <c r="BO1" s="45" t="s">
        <v>776</v>
      </c>
      <c r="BP1" s="45" t="s">
        <v>777</v>
      </c>
      <c r="BQ1" s="45" t="s">
        <v>778</v>
      </c>
      <c r="BR1" s="45" t="s">
        <v>779</v>
      </c>
      <c r="BS1" s="45" t="s">
        <v>780</v>
      </c>
      <c r="BT1" s="45" t="s">
        <v>781</v>
      </c>
      <c r="BU1" s="45" t="s">
        <v>782</v>
      </c>
      <c r="BV1" s="45" t="s">
        <v>44</v>
      </c>
      <c r="BW1" s="45" t="s">
        <v>45</v>
      </c>
      <c r="BX1" s="45" t="s">
        <v>783</v>
      </c>
      <c r="BY1" s="45" t="s">
        <v>784</v>
      </c>
      <c r="BZ1" s="45" t="s">
        <v>785</v>
      </c>
      <c r="CA1" s="45" t="s">
        <v>786</v>
      </c>
      <c r="CB1" s="45" t="s">
        <v>787</v>
      </c>
      <c r="CC1" s="45" t="s">
        <v>59</v>
      </c>
      <c r="CD1" s="45" t="s">
        <v>788</v>
      </c>
      <c r="CE1" s="45" t="s">
        <v>789</v>
      </c>
      <c r="CF1" s="45" t="s">
        <v>790</v>
      </c>
      <c r="CG1" s="45" t="s">
        <v>791</v>
      </c>
      <c r="CH1" s="45" t="s">
        <v>792</v>
      </c>
      <c r="CI1" s="45" t="s">
        <v>793</v>
      </c>
      <c r="CJ1" s="45" t="s">
        <v>90</v>
      </c>
      <c r="CK1" s="45" t="s">
        <v>89</v>
      </c>
      <c r="CL1" s="45" t="s">
        <v>56</v>
      </c>
      <c r="CM1" s="45" t="s">
        <v>794</v>
      </c>
      <c r="CN1" s="45" t="s">
        <v>91</v>
      </c>
      <c r="CO1" s="45" t="s">
        <v>795</v>
      </c>
      <c r="CP1" s="45" t="s">
        <v>796</v>
      </c>
      <c r="CQ1" s="45" t="s">
        <v>797</v>
      </c>
      <c r="CR1" s="45" t="s">
        <v>798</v>
      </c>
      <c r="CS1" s="45" t="s">
        <v>799</v>
      </c>
      <c r="CT1" s="45" t="s">
        <v>800</v>
      </c>
      <c r="CU1" s="45" t="s">
        <v>801</v>
      </c>
      <c r="CV1" s="45" t="s">
        <v>95</v>
      </c>
      <c r="CW1" s="45" t="s">
        <v>74</v>
      </c>
      <c r="CX1" s="45" t="s">
        <v>802</v>
      </c>
      <c r="CY1" s="45" t="s">
        <v>803</v>
      </c>
      <c r="CZ1" s="45" t="s">
        <v>804</v>
      </c>
      <c r="DA1" s="45" t="s">
        <v>805</v>
      </c>
      <c r="DB1" s="45" t="s">
        <v>806</v>
      </c>
      <c r="DC1" s="45" t="s">
        <v>807</v>
      </c>
      <c r="DD1" s="45" t="s">
        <v>808</v>
      </c>
      <c r="DE1" s="45" t="s">
        <v>809</v>
      </c>
      <c r="DF1" s="45" t="s">
        <v>69</v>
      </c>
      <c r="DG1" s="45" t="s">
        <v>810</v>
      </c>
      <c r="DH1" s="45" t="s">
        <v>811</v>
      </c>
      <c r="DI1" s="45" t="s">
        <v>812</v>
      </c>
      <c r="DJ1" s="45" t="s">
        <v>813</v>
      </c>
      <c r="DK1" s="45" t="s">
        <v>814</v>
      </c>
      <c r="DL1" s="45" t="s">
        <v>815</v>
      </c>
      <c r="DM1" s="45" t="s">
        <v>816</v>
      </c>
      <c r="DN1" s="45" t="s">
        <v>817</v>
      </c>
      <c r="DO1" s="45" t="s">
        <v>68</v>
      </c>
      <c r="DP1" s="45" t="s">
        <v>818</v>
      </c>
      <c r="DQ1" s="45" t="s">
        <v>819</v>
      </c>
      <c r="DR1" s="45" t="s">
        <v>820</v>
      </c>
      <c r="DS1" s="45" t="s">
        <v>821</v>
      </c>
      <c r="DT1" s="45" t="s">
        <v>822</v>
      </c>
      <c r="DU1" s="45" t="s">
        <v>823</v>
      </c>
      <c r="DV1" s="45" t="s">
        <v>824</v>
      </c>
      <c r="DW1" s="45" t="s">
        <v>825</v>
      </c>
      <c r="DX1" s="45" t="s">
        <v>826</v>
      </c>
      <c r="DY1" s="45" t="s">
        <v>827</v>
      </c>
      <c r="DZ1" s="45" t="s">
        <v>828</v>
      </c>
      <c r="EA1" s="45" t="s">
        <v>829</v>
      </c>
      <c r="EB1" s="45" t="s">
        <v>830</v>
      </c>
      <c r="EC1" s="45" t="s">
        <v>831</v>
      </c>
      <c r="ED1" s="45" t="s">
        <v>832</v>
      </c>
      <c r="EE1" s="45" t="s">
        <v>833</v>
      </c>
      <c r="EF1" s="45" t="s">
        <v>834</v>
      </c>
      <c r="EG1" s="45" t="s">
        <v>835</v>
      </c>
      <c r="EH1" s="45" t="s">
        <v>836</v>
      </c>
      <c r="EI1" s="45" t="s">
        <v>837</v>
      </c>
      <c r="EJ1" s="45" t="s">
        <v>838</v>
      </c>
      <c r="EK1" s="45" t="s">
        <v>839</v>
      </c>
      <c r="EL1" s="45" t="s">
        <v>840</v>
      </c>
      <c r="EM1" s="45" t="s">
        <v>841</v>
      </c>
      <c r="EN1" s="45" t="s">
        <v>842</v>
      </c>
      <c r="EO1" s="45" t="s">
        <v>843</v>
      </c>
      <c r="EP1" s="45" t="s">
        <v>844</v>
      </c>
      <c r="EQ1" s="45" t="s">
        <v>845</v>
      </c>
      <c r="ER1" s="45" t="s">
        <v>846</v>
      </c>
      <c r="ES1" s="45" t="s">
        <v>847</v>
      </c>
      <c r="ET1" s="45" t="s">
        <v>848</v>
      </c>
      <c r="EU1" s="45" t="s">
        <v>849</v>
      </c>
      <c r="EV1" s="45" t="s">
        <v>850</v>
      </c>
      <c r="EW1" s="45" t="s">
        <v>851</v>
      </c>
      <c r="EX1" s="45" t="s">
        <v>852</v>
      </c>
      <c r="EY1" s="45" t="s">
        <v>853</v>
      </c>
      <c r="EZ1" s="45" t="s">
        <v>854</v>
      </c>
      <c r="FA1" s="45" t="s">
        <v>855</v>
      </c>
      <c r="FB1" s="45" t="s">
        <v>856</v>
      </c>
      <c r="FC1" s="45" t="s">
        <v>857</v>
      </c>
      <c r="FD1" s="45" t="s">
        <v>858</v>
      </c>
      <c r="FE1" s="45" t="s">
        <v>859</v>
      </c>
      <c r="FF1" s="45" t="s">
        <v>860</v>
      </c>
      <c r="FG1" s="45" t="s">
        <v>861</v>
      </c>
      <c r="FH1" s="45" t="s">
        <v>51</v>
      </c>
      <c r="FI1" s="45" t="s">
        <v>862</v>
      </c>
      <c r="FJ1" s="45" t="s">
        <v>863</v>
      </c>
      <c r="FK1" s="45" t="s">
        <v>864</v>
      </c>
      <c r="FL1" s="45" t="s">
        <v>865</v>
      </c>
      <c r="FM1" s="45" t="s">
        <v>866</v>
      </c>
      <c r="FN1" s="45" t="s">
        <v>867</v>
      </c>
      <c r="FO1" s="45" t="s">
        <v>93</v>
      </c>
      <c r="FP1" s="45" t="s">
        <v>868</v>
      </c>
      <c r="FQ1" s="45" t="s">
        <v>869</v>
      </c>
      <c r="FR1" s="45" t="s">
        <v>870</v>
      </c>
      <c r="FS1" s="45" t="s">
        <v>871</v>
      </c>
      <c r="FT1" s="45" t="s">
        <v>872</v>
      </c>
      <c r="FU1" s="45" t="s">
        <v>873</v>
      </c>
      <c r="FV1" s="45" t="s">
        <v>874</v>
      </c>
      <c r="FW1" s="45" t="s">
        <v>875</v>
      </c>
      <c r="FX1" s="45" t="s">
        <v>876</v>
      </c>
      <c r="FY1" s="45" t="s">
        <v>92</v>
      </c>
      <c r="FZ1" s="45" t="s">
        <v>49</v>
      </c>
      <c r="GA1" s="45" t="s">
        <v>877</v>
      </c>
      <c r="GB1" s="45" t="s">
        <v>878</v>
      </c>
      <c r="GC1" s="45" t="s">
        <v>879</v>
      </c>
      <c r="GD1" s="45" t="s">
        <v>880</v>
      </c>
      <c r="GE1" s="45" t="s">
        <v>881</v>
      </c>
      <c r="GF1" s="45" t="s">
        <v>882</v>
      </c>
      <c r="GG1" s="45" t="s">
        <v>883</v>
      </c>
      <c r="GH1" s="45" t="s">
        <v>884</v>
      </c>
      <c r="GI1" s="45" t="s">
        <v>86</v>
      </c>
      <c r="GJ1" s="45" t="s">
        <v>885</v>
      </c>
      <c r="GK1" s="45" t="s">
        <v>886</v>
      </c>
      <c r="GL1" s="45" t="s">
        <v>887</v>
      </c>
      <c r="GM1" s="45" t="s">
        <v>888</v>
      </c>
      <c r="GN1" s="45" t="s">
        <v>889</v>
      </c>
      <c r="GO1" s="45" t="s">
        <v>890</v>
      </c>
      <c r="GP1" s="45" t="s">
        <v>891</v>
      </c>
      <c r="GQ1" s="45" t="s">
        <v>892</v>
      </c>
      <c r="GR1" s="45" t="s">
        <v>893</v>
      </c>
      <c r="GS1" s="45" t="s">
        <v>57</v>
      </c>
      <c r="GT1" s="45" t="s">
        <v>894</v>
      </c>
      <c r="GU1" s="45" t="s">
        <v>895</v>
      </c>
      <c r="GV1" s="45" t="s">
        <v>896</v>
      </c>
      <c r="GW1" s="45" t="s">
        <v>897</v>
      </c>
      <c r="GX1" s="45" t="s">
        <v>898</v>
      </c>
      <c r="GY1" s="45" t="s">
        <v>899</v>
      </c>
      <c r="GZ1" s="45" t="s">
        <v>900</v>
      </c>
      <c r="HA1" s="45" t="s">
        <v>901</v>
      </c>
      <c r="HB1" s="45" t="s">
        <v>902</v>
      </c>
      <c r="HC1" s="45" t="s">
        <v>903</v>
      </c>
      <c r="HD1" s="45" t="s">
        <v>904</v>
      </c>
      <c r="HE1" s="45" t="s">
        <v>905</v>
      </c>
      <c r="HF1" s="45" t="s">
        <v>906</v>
      </c>
      <c r="HG1" s="45" t="s">
        <v>907</v>
      </c>
      <c r="HH1" s="45" t="s">
        <v>908</v>
      </c>
      <c r="HI1" s="45" t="s">
        <v>909</v>
      </c>
      <c r="HJ1" s="45" t="s">
        <v>910</v>
      </c>
      <c r="HK1" s="45" t="s">
        <v>911</v>
      </c>
      <c r="HL1" s="45" t="s">
        <v>912</v>
      </c>
      <c r="HM1" s="45" t="s">
        <v>913</v>
      </c>
      <c r="HN1" s="45" t="s">
        <v>914</v>
      </c>
      <c r="HO1" s="45" t="s">
        <v>915</v>
      </c>
      <c r="HP1" s="45" t="s">
        <v>916</v>
      </c>
      <c r="HQ1" s="45" t="s">
        <v>917</v>
      </c>
    </row>
    <row r="2" spans="1:225" s="38" customFormat="1" ht="14.25" x14ac:dyDescent="0.45">
      <c r="A2" s="49" t="s">
        <v>923</v>
      </c>
      <c r="B2" s="46" t="s">
        <v>522</v>
      </c>
      <c r="C2" s="46" t="s">
        <v>532</v>
      </c>
      <c r="D2" s="46" t="s">
        <v>532</v>
      </c>
      <c r="E2" s="46" t="s">
        <v>573</v>
      </c>
      <c r="F2" s="46" t="s">
        <v>553</v>
      </c>
      <c r="G2" s="47" t="s">
        <v>554</v>
      </c>
      <c r="H2" s="47" t="s">
        <v>547</v>
      </c>
      <c r="I2" s="47" t="s">
        <v>527</v>
      </c>
      <c r="J2" s="47" t="s">
        <v>528</v>
      </c>
      <c r="K2" s="47" t="s">
        <v>564</v>
      </c>
      <c r="L2" s="47" t="s">
        <v>617</v>
      </c>
      <c r="M2" s="47" t="s">
        <v>620</v>
      </c>
      <c r="N2" s="46" t="s">
        <v>653</v>
      </c>
      <c r="O2" s="46" t="s">
        <v>659</v>
      </c>
      <c r="P2" s="46" t="s">
        <v>675</v>
      </c>
      <c r="Q2" s="46" t="s">
        <v>677</v>
      </c>
      <c r="R2" s="46" t="s">
        <v>989</v>
      </c>
      <c r="S2" s="46" t="s">
        <v>947</v>
      </c>
      <c r="T2" s="46" t="s">
        <v>947</v>
      </c>
      <c r="U2" s="46" t="s">
        <v>947</v>
      </c>
      <c r="V2" s="46" t="s">
        <v>947</v>
      </c>
      <c r="W2" s="46" t="s">
        <v>699</v>
      </c>
      <c r="X2" s="46" t="s">
        <v>701</v>
      </c>
      <c r="Y2" s="46" t="s">
        <v>703</v>
      </c>
      <c r="Z2" s="46" t="s">
        <v>705</v>
      </c>
      <c r="AA2" s="46" t="s">
        <v>698</v>
      </c>
      <c r="AB2" s="46" t="s">
        <v>700</v>
      </c>
      <c r="AC2" s="46" t="s">
        <v>702</v>
      </c>
      <c r="AD2" s="46" t="s">
        <v>704</v>
      </c>
      <c r="AE2" s="46" t="s">
        <v>697</v>
      </c>
      <c r="AF2" s="46" t="s">
        <v>696</v>
      </c>
      <c r="AG2" s="46" t="s">
        <v>535</v>
      </c>
      <c r="AH2" s="46" t="s">
        <v>539</v>
      </c>
      <c r="AI2" s="46" t="s">
        <v>539</v>
      </c>
      <c r="AJ2" s="46" t="s">
        <v>603</v>
      </c>
      <c r="AK2" s="46" t="s">
        <v>603</v>
      </c>
      <c r="AL2" s="46" t="s">
        <v>523</v>
      </c>
      <c r="AM2" s="46" t="s">
        <v>655</v>
      </c>
      <c r="AN2" s="46" t="s">
        <v>679</v>
      </c>
      <c r="AO2" s="46" t="s">
        <v>543</v>
      </c>
      <c r="AP2" s="46" t="s">
        <v>947</v>
      </c>
      <c r="AQ2" s="46" t="s">
        <v>947</v>
      </c>
      <c r="AR2" s="46" t="s">
        <v>947</v>
      </c>
      <c r="AS2" s="46"/>
      <c r="AT2" s="46"/>
      <c r="AU2" s="46"/>
      <c r="AV2" s="46"/>
      <c r="AW2" s="46"/>
      <c r="AX2" s="46"/>
      <c r="AY2" s="46"/>
      <c r="AZ2" s="46"/>
      <c r="BA2" s="46"/>
      <c r="BB2" s="46"/>
      <c r="BC2" s="46"/>
      <c r="BD2" s="46"/>
      <c r="BE2" s="46"/>
      <c r="BF2" s="46"/>
      <c r="BG2" s="46"/>
      <c r="BH2" s="46"/>
      <c r="BI2" s="46"/>
      <c r="BJ2" s="46"/>
      <c r="BK2" s="46"/>
      <c r="BL2" s="46"/>
      <c r="BM2" s="46"/>
      <c r="BN2" s="46"/>
      <c r="BO2" s="46"/>
      <c r="BP2" s="46"/>
      <c r="BQ2" s="46"/>
      <c r="BR2" s="46"/>
      <c r="BS2" s="46"/>
      <c r="BT2" s="46"/>
      <c r="BU2" s="46"/>
      <c r="BV2" s="46"/>
      <c r="BW2" s="46"/>
      <c r="BX2" s="46"/>
      <c r="BY2" s="46"/>
      <c r="BZ2" s="46"/>
      <c r="CA2" s="46"/>
      <c r="CB2" s="46"/>
      <c r="CC2" s="46"/>
      <c r="CD2" s="46"/>
      <c r="CE2" s="46"/>
      <c r="CF2" s="46"/>
      <c r="CG2" s="46"/>
      <c r="CH2" s="46"/>
      <c r="CI2" s="46"/>
      <c r="CJ2" s="46"/>
      <c r="CK2" s="46"/>
      <c r="CL2" s="46"/>
      <c r="CM2" s="46"/>
      <c r="CN2" s="46"/>
      <c r="CO2" s="46"/>
      <c r="CP2" s="46"/>
      <c r="CQ2" s="46"/>
      <c r="CR2" s="46"/>
      <c r="CS2" s="46"/>
      <c r="CT2" s="46"/>
      <c r="CU2" s="46"/>
      <c r="CV2" s="46"/>
      <c r="CW2" s="46"/>
      <c r="CX2" s="46"/>
      <c r="CY2" s="46"/>
      <c r="CZ2" s="46"/>
      <c r="DA2" s="46"/>
      <c r="DB2" s="46"/>
      <c r="DC2" s="46"/>
      <c r="DD2" s="46"/>
      <c r="DE2" s="46"/>
      <c r="DF2" s="46"/>
      <c r="DG2" s="46"/>
      <c r="DH2" s="46"/>
      <c r="DI2" s="46"/>
      <c r="DJ2" s="46"/>
      <c r="DK2" s="46"/>
      <c r="DL2" s="46"/>
      <c r="DM2" s="46"/>
      <c r="DN2" s="46"/>
      <c r="DO2" s="46"/>
      <c r="DP2" s="46"/>
      <c r="DQ2" s="46"/>
      <c r="DR2" s="46"/>
      <c r="DS2" s="46"/>
      <c r="DT2" s="46"/>
      <c r="DU2" s="46"/>
      <c r="DV2" s="46"/>
      <c r="DW2" s="46"/>
      <c r="DX2" s="46"/>
      <c r="DY2" s="46"/>
      <c r="DZ2" s="46"/>
      <c r="EA2" s="46"/>
      <c r="EB2" s="46"/>
      <c r="EC2" s="46"/>
      <c r="ED2" s="46"/>
      <c r="EE2" s="46"/>
      <c r="EF2" s="46"/>
      <c r="EG2" s="46"/>
      <c r="EH2" s="46"/>
      <c r="EI2" s="46"/>
      <c r="EJ2" s="46"/>
      <c r="EK2" s="46"/>
      <c r="EL2" s="46"/>
      <c r="EM2" s="46"/>
      <c r="EN2" s="46"/>
      <c r="EO2" s="46"/>
      <c r="EP2" s="46"/>
      <c r="EQ2" s="46"/>
      <c r="ER2" s="46"/>
      <c r="ES2" s="46"/>
      <c r="ET2" s="46"/>
      <c r="EU2" s="46"/>
      <c r="EV2" s="46"/>
      <c r="EW2" s="46"/>
      <c r="EX2" s="46"/>
      <c r="EY2" s="46"/>
      <c r="EZ2" s="46"/>
      <c r="FA2" s="46"/>
      <c r="FB2" s="46"/>
      <c r="FC2" s="46"/>
      <c r="FD2" s="46"/>
      <c r="FE2" s="46"/>
      <c r="FF2" s="46"/>
      <c r="FG2" s="46"/>
      <c r="FH2" s="46"/>
      <c r="FI2" s="46"/>
      <c r="FJ2" s="46"/>
      <c r="FK2" s="46"/>
      <c r="FL2" s="46"/>
      <c r="FM2" s="46"/>
      <c r="FN2" s="46"/>
      <c r="FO2" s="46"/>
      <c r="FP2" s="46"/>
      <c r="FQ2" s="46"/>
      <c r="FR2" s="46"/>
      <c r="FS2" s="46"/>
      <c r="FT2" s="46"/>
      <c r="FU2" s="46"/>
      <c r="FV2" s="46"/>
      <c r="FW2" s="46"/>
      <c r="FX2" s="46"/>
      <c r="FY2" s="46"/>
      <c r="FZ2" s="46"/>
      <c r="GA2" s="46"/>
      <c r="GB2" s="46"/>
      <c r="GC2" s="46"/>
      <c r="GD2" s="46"/>
      <c r="GE2" s="46"/>
      <c r="GF2" s="46"/>
      <c r="GG2" s="46"/>
      <c r="GH2" s="46"/>
      <c r="GI2" s="46"/>
      <c r="GJ2" s="46"/>
      <c r="GK2" s="46"/>
      <c r="GL2" s="46"/>
      <c r="GM2" s="46"/>
      <c r="GN2" s="46"/>
      <c r="GO2" s="46"/>
      <c r="GP2" s="46"/>
      <c r="GQ2" s="46"/>
      <c r="GR2" s="46"/>
      <c r="GS2" s="46"/>
      <c r="GT2" s="46"/>
      <c r="GU2" s="46"/>
      <c r="GV2" s="46"/>
      <c r="GW2" s="46"/>
      <c r="GX2" s="46"/>
      <c r="GY2" s="46"/>
      <c r="GZ2" s="46"/>
      <c r="HA2" s="46"/>
      <c r="HB2" s="46"/>
      <c r="HC2" s="46"/>
      <c r="HD2" s="46"/>
      <c r="HE2" s="46"/>
      <c r="HF2" s="46"/>
      <c r="HG2" s="46"/>
      <c r="HH2" s="46"/>
      <c r="HI2" s="46"/>
      <c r="HJ2" s="46"/>
      <c r="HK2" s="46"/>
      <c r="HL2" s="46"/>
      <c r="HM2" s="46"/>
      <c r="HN2" s="46"/>
      <c r="HO2" s="46"/>
      <c r="HP2" s="46"/>
      <c r="HQ2" s="46"/>
    </row>
    <row r="3" spans="1:225" s="38" customFormat="1" ht="14.25" x14ac:dyDescent="0.45">
      <c r="A3" s="50" t="s">
        <v>925</v>
      </c>
      <c r="B3" s="51" t="s">
        <v>948</v>
      </c>
      <c r="C3" s="51" t="s">
        <v>949</v>
      </c>
      <c r="D3" s="51" t="s">
        <v>950</v>
      </c>
      <c r="E3" s="51" t="s">
        <v>951</v>
      </c>
      <c r="F3" s="51" t="s">
        <v>952</v>
      </c>
      <c r="G3" s="51" t="s">
        <v>953</v>
      </c>
      <c r="H3" s="51" t="s">
        <v>954</v>
      </c>
      <c r="I3" s="51" t="s">
        <v>955</v>
      </c>
      <c r="J3" s="51" t="s">
        <v>956</v>
      </c>
      <c r="K3" s="51" t="s">
        <v>957</v>
      </c>
      <c r="L3" s="51" t="s">
        <v>958</v>
      </c>
      <c r="M3" s="51" t="s">
        <v>959</v>
      </c>
      <c r="N3" s="51" t="s">
        <v>990</v>
      </c>
      <c r="O3" s="51" t="s">
        <v>991</v>
      </c>
      <c r="P3" s="51" t="s">
        <v>960</v>
      </c>
      <c r="Q3" s="51" t="s">
        <v>961</v>
      </c>
      <c r="R3" s="51" t="s">
        <v>988</v>
      </c>
      <c r="S3" s="51" t="s">
        <v>962</v>
      </c>
      <c r="T3" s="51" t="s">
        <v>963</v>
      </c>
      <c r="U3" s="51" t="s">
        <v>964</v>
      </c>
      <c r="V3" s="51" t="s">
        <v>965</v>
      </c>
      <c r="W3" s="51" t="s">
        <v>966</v>
      </c>
      <c r="X3" s="51" t="s">
        <v>967</v>
      </c>
      <c r="Y3" s="51" t="s">
        <v>968</v>
      </c>
      <c r="Z3" s="51" t="s">
        <v>969</v>
      </c>
      <c r="AA3" s="51" t="s">
        <v>970</v>
      </c>
      <c r="AB3" s="51" t="s">
        <v>971</v>
      </c>
      <c r="AC3" s="51" t="s">
        <v>972</v>
      </c>
      <c r="AD3" s="51" t="s">
        <v>973</v>
      </c>
      <c r="AE3" s="51" t="s">
        <v>974</v>
      </c>
      <c r="AF3" s="51" t="s">
        <v>975</v>
      </c>
      <c r="AG3" s="51" t="s">
        <v>976</v>
      </c>
      <c r="AH3" s="51" t="s">
        <v>977</v>
      </c>
      <c r="AI3" s="51" t="s">
        <v>978</v>
      </c>
      <c r="AJ3" s="51" t="s">
        <v>979</v>
      </c>
      <c r="AK3" s="51" t="s">
        <v>980</v>
      </c>
      <c r="AL3" s="51" t="s">
        <v>981</v>
      </c>
      <c r="AM3" s="51" t="s">
        <v>982</v>
      </c>
      <c r="AN3" s="51" t="s">
        <v>983</v>
      </c>
      <c r="AO3" s="51" t="s">
        <v>984</v>
      </c>
      <c r="AP3" s="51" t="s">
        <v>985</v>
      </c>
      <c r="AQ3" s="51" t="s">
        <v>986</v>
      </c>
      <c r="AR3" s="51" t="s">
        <v>987</v>
      </c>
      <c r="AS3" s="51"/>
      <c r="AT3" s="51"/>
      <c r="AU3" s="51"/>
      <c r="AV3" s="51"/>
      <c r="AW3" s="51"/>
      <c r="AX3" s="51"/>
      <c r="AY3" s="51"/>
      <c r="AZ3" s="51"/>
      <c r="BA3" s="51"/>
      <c r="BB3" s="51"/>
      <c r="BC3" s="51"/>
      <c r="BD3" s="51"/>
      <c r="BE3" s="51"/>
      <c r="BF3" s="51"/>
      <c r="BG3" s="51"/>
      <c r="BH3" s="51"/>
      <c r="BI3" s="51"/>
      <c r="BJ3" s="51"/>
      <c r="BK3" s="51"/>
      <c r="BL3" s="51"/>
      <c r="BM3" s="51"/>
      <c r="BN3" s="51"/>
      <c r="BO3" s="51"/>
      <c r="BP3" s="51"/>
      <c r="BQ3" s="51"/>
      <c r="BR3" s="51"/>
      <c r="BS3" s="51"/>
      <c r="BT3" s="51"/>
      <c r="BU3" s="51"/>
      <c r="BV3" s="51"/>
      <c r="BW3" s="51"/>
      <c r="BX3" s="51"/>
      <c r="BY3" s="51"/>
      <c r="BZ3" s="51"/>
      <c r="CA3" s="51"/>
      <c r="CB3" s="51"/>
      <c r="CC3" s="51"/>
      <c r="CD3" s="51"/>
      <c r="CE3" s="51"/>
      <c r="CF3" s="51"/>
      <c r="CG3" s="51"/>
      <c r="CH3" s="51"/>
      <c r="CI3" s="51"/>
      <c r="CJ3" s="51"/>
      <c r="CK3" s="51"/>
      <c r="CL3" s="51"/>
      <c r="CM3" s="51"/>
      <c r="CN3" s="51"/>
      <c r="CO3" s="51"/>
      <c r="CP3" s="51"/>
      <c r="CQ3" s="51"/>
      <c r="CR3" s="51"/>
      <c r="CS3" s="51"/>
      <c r="CT3" s="51"/>
      <c r="CU3" s="51"/>
      <c r="CV3" s="51"/>
      <c r="CW3" s="51"/>
      <c r="CX3" s="51"/>
      <c r="CY3" s="51"/>
      <c r="CZ3" s="51"/>
      <c r="DA3" s="51"/>
      <c r="DB3" s="51"/>
      <c r="DC3" s="51"/>
      <c r="DD3" s="51"/>
      <c r="DE3" s="51"/>
      <c r="DF3" s="51"/>
      <c r="DG3" s="51"/>
      <c r="DH3" s="51"/>
      <c r="DI3" s="51"/>
      <c r="DJ3" s="51"/>
      <c r="DK3" s="51"/>
      <c r="DL3" s="51"/>
      <c r="DM3" s="51"/>
      <c r="DN3" s="51"/>
      <c r="DO3" s="51"/>
      <c r="DP3" s="51"/>
      <c r="DQ3" s="51"/>
      <c r="DR3" s="51"/>
      <c r="DS3" s="51"/>
      <c r="DT3" s="51"/>
      <c r="DU3" s="51"/>
      <c r="DV3" s="51"/>
      <c r="DW3" s="51"/>
      <c r="DX3" s="51"/>
      <c r="DY3" s="51"/>
      <c r="DZ3" s="51"/>
      <c r="EA3" s="51"/>
      <c r="EB3" s="51"/>
      <c r="EC3" s="51"/>
      <c r="ED3" s="51"/>
      <c r="EE3" s="51"/>
      <c r="EF3" s="51"/>
      <c r="EG3" s="51"/>
      <c r="EH3" s="51"/>
      <c r="EI3" s="51"/>
      <c r="EJ3" s="51"/>
      <c r="EK3" s="51"/>
      <c r="EL3" s="51"/>
      <c r="EM3" s="51"/>
      <c r="EN3" s="51"/>
      <c r="EO3" s="51"/>
      <c r="EP3" s="51"/>
      <c r="EQ3" s="51"/>
      <c r="ER3" s="51"/>
      <c r="ES3" s="51"/>
      <c r="ET3" s="51"/>
      <c r="EU3" s="51"/>
      <c r="EV3" s="51"/>
      <c r="EW3" s="51"/>
      <c r="EX3" s="51"/>
      <c r="EY3" s="51"/>
      <c r="EZ3" s="51"/>
      <c r="FA3" s="51"/>
      <c r="FB3" s="51"/>
      <c r="FC3" s="51"/>
      <c r="FD3" s="51"/>
      <c r="FE3" s="51"/>
      <c r="FF3" s="51"/>
      <c r="FG3" s="51"/>
      <c r="FH3" s="51"/>
      <c r="FI3" s="51"/>
      <c r="FJ3" s="51"/>
      <c r="FK3" s="51"/>
      <c r="FL3" s="51"/>
      <c r="FM3" s="51"/>
      <c r="FN3" s="51"/>
      <c r="FO3" s="51"/>
      <c r="FP3" s="51"/>
      <c r="FQ3" s="51"/>
      <c r="FR3" s="51"/>
      <c r="FS3" s="51"/>
      <c r="FT3" s="51"/>
      <c r="FU3" s="51"/>
      <c r="FV3" s="51"/>
      <c r="FW3" s="51"/>
      <c r="FX3" s="51"/>
      <c r="FY3" s="51"/>
      <c r="FZ3" s="51"/>
      <c r="GA3" s="51"/>
      <c r="GB3" s="51"/>
      <c r="GC3" s="51"/>
      <c r="GD3" s="51"/>
      <c r="GE3" s="51"/>
      <c r="GF3" s="51"/>
      <c r="GG3" s="51"/>
      <c r="GH3" s="51"/>
      <c r="GI3" s="51"/>
      <c r="GJ3" s="51"/>
      <c r="GK3" s="51"/>
      <c r="GL3" s="51"/>
      <c r="GM3" s="51"/>
      <c r="GN3" s="51"/>
      <c r="GO3" s="51"/>
      <c r="GP3" s="51"/>
      <c r="GQ3" s="51"/>
      <c r="GR3" s="51"/>
      <c r="GS3" s="51"/>
      <c r="GT3" s="51"/>
      <c r="GU3" s="51"/>
      <c r="GV3" s="51"/>
      <c r="GW3" s="51"/>
      <c r="GX3" s="51"/>
      <c r="GY3" s="51"/>
      <c r="GZ3" s="51"/>
      <c r="HA3" s="51"/>
      <c r="HB3" s="51"/>
      <c r="HC3" s="51"/>
      <c r="HD3" s="51"/>
      <c r="HE3" s="51"/>
      <c r="HF3" s="51"/>
      <c r="HG3" s="51"/>
      <c r="HH3" s="51"/>
      <c r="HI3" s="51"/>
      <c r="HJ3" s="51"/>
      <c r="HK3" s="51"/>
      <c r="HL3" s="51"/>
      <c r="HM3" s="51"/>
      <c r="HN3" s="51"/>
      <c r="HO3" s="51"/>
      <c r="HP3" s="51"/>
      <c r="HQ3" s="51"/>
    </row>
  </sheetData>
  <phoneticPr fontId="13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100-000000000000}">
          <x14:formula1>
            <xm:f>フィールド一覧!$B$3:$B$226</xm:f>
          </x14:formula1>
          <xm:sqref>B2:HQ2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tSql1">
    <tabColor theme="0" tint="-0.499984740745262"/>
  </sheetPr>
  <dimension ref="B1:G292"/>
  <sheetViews>
    <sheetView workbookViewId="0">
      <selection activeCell="G2" sqref="G2"/>
    </sheetView>
  </sheetViews>
  <sheetFormatPr defaultColWidth="3.6640625" defaultRowHeight="15" outlineLevelRow="1" x14ac:dyDescent="0.35"/>
  <cols>
    <col min="1" max="1" width="3" style="1" customWidth="1"/>
    <col min="2" max="2" width="16.44140625" style="1" customWidth="1"/>
    <col min="3" max="3" width="10.77734375" style="1" customWidth="1"/>
    <col min="4" max="5" width="17" style="1" customWidth="1"/>
    <col min="6" max="6" width="3" style="1" customWidth="1"/>
    <col min="7" max="7" width="42.5546875" style="1" customWidth="1"/>
    <col min="8" max="8" width="25" style="1" customWidth="1"/>
    <col min="9" max="16384" width="3.6640625" style="1"/>
  </cols>
  <sheetData>
    <row r="1" spans="4:7" x14ac:dyDescent="0.35">
      <c r="G1" s="17" t="s">
        <v>944</v>
      </c>
    </row>
    <row r="2" spans="4:7" x14ac:dyDescent="0.35">
      <c r="D2" s="56" t="s">
        <v>946</v>
      </c>
      <c r="E2" s="56" t="s">
        <v>945</v>
      </c>
      <c r="G2" s="1" t="s">
        <v>32</v>
      </c>
    </row>
    <row r="3" spans="4:7" x14ac:dyDescent="0.35">
      <c r="D3" s="20" t="str">
        <f ca="1">OFFSET(データ!$B$2, 0, $F3 - 1) &amp; ""</f>
        <v>S.依頼番号</v>
      </c>
      <c r="E3" s="20" t="str">
        <f ca="1">OFFSET(データ!$B$3, 0, $F3 - 1) &amp; ""</f>
        <v>sample_request_number</v>
      </c>
      <c r="F3" s="1">
        <f t="shared" ref="F3:F34" si="0">ROW() - ROW($F$2)</f>
        <v>1</v>
      </c>
      <c r="G3" s="1" t="str">
        <f ca="1" xml:space="preserve"> IF( D3 = "", "",
         IFERROR(MID(VLOOKUP(D3, フィールドリスト[], COLUMN(フィールドリスト[Select用文字列]) - 1, FALSE), 3, 99), " , '' ")
       )</f>
        <v xml:space="preserve"> S.REQNO</v>
      </c>
    </row>
    <row r="4" spans="4:7" hidden="1" outlineLevel="1" x14ac:dyDescent="0.35">
      <c r="D4" s="20" t="str">
        <f ca="1">OFFSET(データ!$B$2, 0, $F4 - 1) &amp; ""</f>
        <v>S.サンプル採取日</v>
      </c>
      <c r="E4" s="20" t="str">
        <f ca="1">OFFSET(データ!$B$3, 0, $F4 - 1) &amp; ""</f>
        <v>sample_sampling_date</v>
      </c>
      <c r="F4" s="1">
        <f t="shared" si="0"/>
        <v>2</v>
      </c>
      <c r="G4" s="1" t="str">
        <f ca="1" xml:space="preserve"> IF( D4 = "", "",
         IFERROR(VLOOKUP(D4, フィールドリスト[], COLUMN(フィールドリスト[Select用文字列]) - 1, FALSE), " , '' ")
       )</f>
        <v xml:space="preserve"> , S.SMPDT</v>
      </c>
    </row>
    <row r="5" spans="4:7" hidden="1" outlineLevel="1" x14ac:dyDescent="0.35">
      <c r="D5" s="20" t="str">
        <f ca="1">OFFSET(データ!$B$2, 0, $F5 - 1) &amp; ""</f>
        <v>S.サンプル採取日</v>
      </c>
      <c r="E5" s="20" t="str">
        <f ca="1">OFFSET(データ!$B$3, 0, $F5 - 1) &amp; ""</f>
        <v>sample_sampling_date_sample</v>
      </c>
      <c r="F5" s="1">
        <f t="shared" si="0"/>
        <v>3</v>
      </c>
      <c r="G5" s="1" t="str">
        <f ca="1" xml:space="preserve"> IF( D5 = "", "",
         IFERROR(VLOOKUP(D5, フィールドリスト[], COLUMN(フィールドリスト[Select用文字列]) - 1, FALSE), " , '' ")
       )</f>
        <v xml:space="preserve"> , S.SMPDT</v>
      </c>
    </row>
    <row r="6" spans="4:7" hidden="1" outlineLevel="1" x14ac:dyDescent="0.35">
      <c r="D6" s="20" t="str">
        <f ca="1">OFFSET(データ!$B$2, 0, $F6 - 1) &amp; ""</f>
        <v>S.測定月日</v>
      </c>
      <c r="E6" s="20" t="str">
        <f ca="1">OFFSET(データ!$B$3, 0, $F6 - 1) &amp; ""</f>
        <v>sample_measurement_date</v>
      </c>
      <c r="F6" s="1">
        <f t="shared" si="0"/>
        <v>4</v>
      </c>
      <c r="G6" s="1" t="str">
        <f ca="1" xml:space="preserve"> IF( D6 = "", "",
         IFERROR(VLOOKUP(D6, フィールドリスト[], COLUMN(フィールドリスト[Select用文字列]) - 1, FALSE), " , '' ")
       )</f>
        <v xml:space="preserve"> , S.SMPINF21</v>
      </c>
    </row>
    <row r="7" spans="4:7" hidden="1" outlineLevel="1" x14ac:dyDescent="0.35">
      <c r="D7" s="20" t="str">
        <f ca="1">OFFSET(データ!$B$2, 0, $F7 - 1) &amp; ""</f>
        <v>S.JOB番号（報告書番号１）</v>
      </c>
      <c r="E7" s="20" t="str">
        <f ca="1">OFFSET(データ!$B$3, 0, $F7 - 1) &amp; ""</f>
        <v>sample_job_number</v>
      </c>
      <c r="F7" s="1">
        <f t="shared" si="0"/>
        <v>5</v>
      </c>
      <c r="G7" s="1" t="str">
        <f ca="1" xml:space="preserve"> IF( D7 = "", "",
         IFERROR(VLOOKUP(D7, フィールドリスト[], COLUMN(フィールドリスト[Select用文字列]) - 1, FALSE), " , '' ")
       )</f>
        <v xml:space="preserve"> , S.SMPINF01</v>
      </c>
    </row>
    <row r="8" spans="4:7" hidden="1" outlineLevel="1" x14ac:dyDescent="0.35">
      <c r="D8" s="20" t="str">
        <f ca="1">OFFSET(データ!$B$2, 0, $F8 - 1) &amp; ""</f>
        <v>S.JOB枝番号（報告書番号２）</v>
      </c>
      <c r="E8" s="20" t="str">
        <f ca="1">OFFSET(データ!$B$3, 0, $F8 - 1) &amp; ""</f>
        <v>sample_job_branch_number</v>
      </c>
      <c r="F8" s="1">
        <f t="shared" si="0"/>
        <v>6</v>
      </c>
      <c r="G8" s="1" t="str">
        <f ca="1" xml:space="preserve"> IF( D8 = "", "",
         IFERROR(VLOOKUP(D8, フィールドリスト[], COLUMN(フィールドリスト[Select用文字列]) - 1, FALSE), " , '' ")
       )</f>
        <v xml:space="preserve"> , S.SMPINF02</v>
      </c>
    </row>
    <row r="9" spans="4:7" hidden="1" outlineLevel="1" x14ac:dyDescent="0.35">
      <c r="D9" s="20" t="str">
        <f ca="1">OFFSET(データ!$B$2, 0, $F9 - 1) &amp; ""</f>
        <v>S.プロトコルコード</v>
      </c>
      <c r="E9" s="20" t="str">
        <f ca="1">OFFSET(データ!$B$3, 0, $F9 - 1) &amp; ""</f>
        <v>sample_protocol_name</v>
      </c>
      <c r="F9" s="1">
        <f t="shared" si="0"/>
        <v>7</v>
      </c>
      <c r="G9" s="1" t="str">
        <f ca="1" xml:space="preserve"> IF( D9 = "", "",
         IFERROR(VLOOKUP(D9, フィールドリスト[], COLUMN(フィールドリスト[Select用文字列]) - 1, FALSE), " , '' ")
       )</f>
        <v xml:space="preserve"> , S.PRTCD</v>
      </c>
    </row>
    <row r="10" spans="4:7" hidden="1" outlineLevel="1" x14ac:dyDescent="0.35">
      <c r="D10" s="20" t="str">
        <f ca="1">OFFSET(データ!$B$2, 0, $F10 - 1) &amp; ""</f>
        <v>S.サンプルコード</v>
      </c>
      <c r="E10" s="20" t="str">
        <f ca="1">OFFSET(データ!$B$3, 0, $F10 - 1) &amp; ""</f>
        <v>sample_code</v>
      </c>
      <c r="F10" s="1">
        <f t="shared" si="0"/>
        <v>8</v>
      </c>
      <c r="G10" s="1" t="str">
        <f ca="1" xml:space="preserve"> IF( D10 = "", "",
         IFERROR(VLOOKUP(D10, フィールドリスト[], COLUMN(フィールドリスト[Select用文字列]) - 1, FALSE), " , '' ")
       )</f>
        <v xml:space="preserve"> , S.SMPCD</v>
      </c>
    </row>
    <row r="11" spans="4:7" hidden="1" outlineLevel="1" x14ac:dyDescent="0.35">
      <c r="D11" s="20" t="str">
        <f ca="1">OFFSET(データ!$B$2, 0, $F11 - 1) &amp; ""</f>
        <v>S.サンプル名</v>
      </c>
      <c r="E11" s="20" t="str">
        <f ca="1">OFFSET(データ!$B$3, 0, $F11 - 1) &amp; ""</f>
        <v>sample_name</v>
      </c>
      <c r="F11" s="1">
        <f t="shared" si="0"/>
        <v>9</v>
      </c>
      <c r="G11" s="1" t="str">
        <f ca="1" xml:space="preserve"> IF( D11 = "", "",
         IFERROR(VLOOKUP(D11, フィールドリスト[], COLUMN(フィールドリスト[Select用文字列]) - 1, FALSE), " , '' ")
       )</f>
        <v xml:space="preserve"> , S.SMPNM</v>
      </c>
    </row>
    <row r="12" spans="4:7" hidden="1" outlineLevel="1" x14ac:dyDescent="0.35">
      <c r="D12" s="20" t="str">
        <f ca="1">OFFSET(データ!$B$2, 0, $F12 - 1) &amp; ""</f>
        <v>S.試料名/施設名</v>
      </c>
      <c r="E12" s="20" t="str">
        <f ca="1">OFFSET(データ!$B$3, 0, $F12 - 1) &amp; ""</f>
        <v>sample_material_or_facility_name</v>
      </c>
      <c r="F12" s="1">
        <f t="shared" si="0"/>
        <v>10</v>
      </c>
      <c r="G12" s="1" t="str">
        <f ca="1" xml:space="preserve"> IF( D12 = "", "",
         IFERROR(VLOOKUP(D12, フィールドリスト[], COLUMN(フィールドリスト[Select用文字列]) - 1, FALSE), " , '' ")
       )</f>
        <v xml:space="preserve"> , S.SMPINF12</v>
      </c>
    </row>
    <row r="13" spans="4:7" hidden="1" outlineLevel="1" x14ac:dyDescent="0.35">
      <c r="D13" s="20" t="str">
        <f ca="1">OFFSET(データ!$B$2, 0, $F13 - 1) &amp; ""</f>
        <v>H.ホルダコード</v>
      </c>
      <c r="E13" s="20" t="str">
        <f ca="1">OFFSET(データ!$B$3, 0, $F13 - 1) &amp; ""</f>
        <v>holder_code</v>
      </c>
      <c r="F13" s="1">
        <f t="shared" si="0"/>
        <v>11</v>
      </c>
      <c r="G13" s="1" t="str">
        <f ca="1" xml:space="preserve"> IF( D13 = "", "",
         IFERROR(VLOOKUP(D13, フィールドリスト[], COLUMN(フィールドリスト[Select用文字列]) - 1, FALSE), " , '' ")
       )</f>
        <v xml:space="preserve"> , H.HLDCD</v>
      </c>
    </row>
    <row r="14" spans="4:7" hidden="1" outlineLevel="1" x14ac:dyDescent="0.35">
      <c r="D14" s="20" t="str">
        <f ca="1">OFFSET(データ!$B$2, 0, $F14 - 1) &amp; ""</f>
        <v>H.ホルダ名</v>
      </c>
      <c r="E14" s="20" t="str">
        <f ca="1">OFFSET(データ!$B$3, 0, $F14 - 1) &amp; ""</f>
        <v>holder_name</v>
      </c>
      <c r="F14" s="1">
        <f t="shared" si="0"/>
        <v>12</v>
      </c>
      <c r="G14" s="1" t="str">
        <f ca="1" xml:space="preserve"> IF( D14 = "", "",
         IFERROR(VLOOKUP(D14, フィールドリスト[], COLUMN(フィールドリスト[Select用文字列]) - 1, FALSE), " , '' ")
       )</f>
        <v xml:space="preserve"> , H.HLDNM</v>
      </c>
    </row>
    <row r="15" spans="4:7" hidden="1" outlineLevel="1" x14ac:dyDescent="0.35">
      <c r="D15" s="20" t="str">
        <f ca="1">OFFSET(データ!$B$2, 0, $F15 - 1) &amp; ""</f>
        <v>T.試験項目コード</v>
      </c>
      <c r="E15" s="20" t="str">
        <f ca="1">OFFSET(データ!$B$3, 0, $F15 - 1) &amp; ""</f>
        <v>test_code</v>
      </c>
      <c r="F15" s="1">
        <f t="shared" si="0"/>
        <v>13</v>
      </c>
      <c r="G15" s="1" t="str">
        <f ca="1" xml:space="preserve"> IF( D15 = "", "",
         IFERROR(VLOOKUP(D15, フィールドリスト[], COLUMN(フィールドリスト[Select用文字列]) - 1, FALSE), " , '' ")
       )</f>
        <v xml:space="preserve"> , T.TSTCD</v>
      </c>
    </row>
    <row r="16" spans="4:7" hidden="1" outlineLevel="1" x14ac:dyDescent="0.35">
      <c r="D16" s="20" t="str">
        <f ca="1">OFFSET(データ!$B$2, 0, $F16 - 1) &amp; ""</f>
        <v>T.試験項目名</v>
      </c>
      <c r="E16" s="20" t="str">
        <f ca="1">OFFSET(データ!$B$3, 0, $F16 - 1) &amp; ""</f>
        <v>test_name</v>
      </c>
      <c r="F16" s="1">
        <f t="shared" si="0"/>
        <v>14</v>
      </c>
      <c r="G16" s="1" t="str">
        <f ca="1" xml:space="preserve"> IF( D16 = "", "",
         IFERROR(VLOOKUP(D16, フィールドリスト[], COLUMN(フィールドリスト[Select用文字列]) - 1, FALSE), " , '' ")
       )</f>
        <v xml:space="preserve"> , T.TSTNM</v>
      </c>
    </row>
    <row r="17" spans="4:7" hidden="1" outlineLevel="1" x14ac:dyDescent="0.35">
      <c r="D17" s="20" t="str">
        <f ca="1">OFFSET(データ!$B$2, 0, $F17 - 1) &amp; ""</f>
        <v>T.データ（生データ）</v>
      </c>
      <c r="E17" s="20" t="str">
        <f ca="1">OFFSET(データ!$B$3, 0, $F17 - 1) &amp; ""</f>
        <v>test_raw_data</v>
      </c>
      <c r="F17" s="1">
        <f t="shared" si="0"/>
        <v>15</v>
      </c>
      <c r="G17" s="1" t="str">
        <f ca="1" xml:space="preserve"> IF( D17 = "", "",
         IFERROR(VLOOKUP(D17, フィールドリスト[], COLUMN(フィールドリスト[Select用文字列]) - 1, FALSE), " , '' ")
       )</f>
        <v xml:space="preserve"> , T.DAT0</v>
      </c>
    </row>
    <row r="18" spans="4:7" hidden="1" outlineLevel="1" x14ac:dyDescent="0.35">
      <c r="D18" s="20" t="str">
        <f ca="1">OFFSET(データ!$B$2, 0, $F18 - 1) &amp; ""</f>
        <v>T.データ（報告用）</v>
      </c>
      <c r="E18" s="20" t="str">
        <f ca="1">OFFSET(データ!$B$3, 0, $F18 - 1) &amp; ""</f>
        <v>test_reported_data</v>
      </c>
      <c r="F18" s="1">
        <f t="shared" si="0"/>
        <v>16</v>
      </c>
      <c r="G18" s="1" t="str">
        <f ca="1" xml:space="preserve"> IF( D18 = "", "",
         IFERROR(VLOOKUP(D18, フィールドリスト[], COLUMN(フィールドリスト[Select用文字列]) - 1, FALSE), " , '' ")
       )</f>
        <v xml:space="preserve"> , T.DAT2</v>
      </c>
    </row>
    <row r="19" spans="4:7" hidden="1" outlineLevel="1" x14ac:dyDescent="0.35">
      <c r="D19" s="20" t="str">
        <f ca="1">OFFSET(データ!$B$2, 0, $F19 - 1) &amp; ""</f>
        <v>T.単位コード</v>
      </c>
      <c r="E19" s="20" t="str">
        <f ca="1">OFFSET(データ!$B$3, 0, $F19 - 1) &amp; ""</f>
        <v>test_unit_code</v>
      </c>
      <c r="F19" s="1">
        <f t="shared" si="0"/>
        <v>17</v>
      </c>
      <c r="G19" s="1" t="str">
        <f ca="1" xml:space="preserve"> IF( D19 = "", "",
         IFERROR(VLOOKUP(D19, フィールドリスト[], COLUMN(フィールドリスト[Select用文字列]) - 1, FALSE), " , '' ")
       )</f>
        <v xml:space="preserve"> , T.UNTCD</v>
      </c>
    </row>
    <row r="20" spans="4:7" hidden="1" outlineLevel="1" x14ac:dyDescent="0.35">
      <c r="D20" s="20" t="str">
        <f ca="1">OFFSET(データ!$B$2, 0, $F20 - 1) &amp; ""</f>
        <v>-</v>
      </c>
      <c r="E20" s="20" t="str">
        <f ca="1">OFFSET(データ!$B$3, 0, $F20 - 1) &amp; ""</f>
        <v>test_unit_name</v>
      </c>
      <c r="F20" s="1">
        <f t="shared" si="0"/>
        <v>18</v>
      </c>
      <c r="G20" s="1" t="str">
        <f ca="1" xml:space="preserve"> IF( D20 = "", "",
         IFERROR(VLOOKUP(D20, フィールドリスト[], COLUMN(フィールドリスト[Select用文字列]) - 1, FALSE), " , '' ")
       )</f>
        <v xml:space="preserve"> , '' </v>
      </c>
    </row>
    <row r="21" spans="4:7" hidden="1" outlineLevel="1" x14ac:dyDescent="0.35">
      <c r="D21" s="20" t="str">
        <f ca="1">OFFSET(データ!$B$2, 0, $F21 - 1) &amp; ""</f>
        <v>-</v>
      </c>
      <c r="E21" s="20" t="str">
        <f ca="1">OFFSET(データ!$B$3, 0, $F21 - 1) &amp; ""</f>
        <v>sample_hcl_converted_o2</v>
      </c>
      <c r="F21" s="1">
        <f t="shared" si="0"/>
        <v>19</v>
      </c>
      <c r="G21" s="1" t="str">
        <f ca="1" xml:space="preserve"> IF( D21 = "", "",
         IFERROR(VLOOKUP(D21, フィールドリスト[], COLUMN(フィールドリスト[Select用文字列]) - 1, FALSE), " , '' ")
       )</f>
        <v xml:space="preserve"> , '' </v>
      </c>
    </row>
    <row r="22" spans="4:7" hidden="1" outlineLevel="1" x14ac:dyDescent="0.35">
      <c r="D22" s="20" t="str">
        <f ca="1">OFFSET(データ!$B$2, 0, $F22 - 1) &amp; ""</f>
        <v>-</v>
      </c>
      <c r="E22" s="20" t="str">
        <f ca="1">OFFSET(データ!$B$3, 0, $F22 - 1) &amp; ""</f>
        <v>sample_nox_converted_o2</v>
      </c>
      <c r="F22" s="1">
        <f t="shared" si="0"/>
        <v>20</v>
      </c>
      <c r="G22" s="1" t="str">
        <f ca="1" xml:space="preserve"> IF( D22 = "", "",
         IFERROR(VLOOKUP(D22, フィールドリスト[], COLUMN(フィールドリスト[Select用文字列]) - 1, FALSE), " , '' ")
       )</f>
        <v xml:space="preserve"> , '' </v>
      </c>
    </row>
    <row r="23" spans="4:7" hidden="1" outlineLevel="1" x14ac:dyDescent="0.35">
      <c r="D23" s="20" t="str">
        <f ca="1">OFFSET(データ!$B$2, 0, $F23 - 1) &amp; ""</f>
        <v>-</v>
      </c>
      <c r="E23" s="20" t="str">
        <f ca="1">OFFSET(データ!$B$3, 0, $F23 - 1) &amp; ""</f>
        <v>sample_dust_converted_o2</v>
      </c>
      <c r="F23" s="1">
        <f t="shared" si="0"/>
        <v>21</v>
      </c>
      <c r="G23" s="1" t="str">
        <f ca="1" xml:space="preserve"> IF( D23 = "", "",
         IFERROR(VLOOKUP(D23, フィールドリスト[], COLUMN(フィールドリスト[Select用文字列]) - 1, FALSE), " , '' ")
       )</f>
        <v xml:space="preserve"> , '' </v>
      </c>
    </row>
    <row r="24" spans="4:7" hidden="1" outlineLevel="1" x14ac:dyDescent="0.35">
      <c r="D24" s="20" t="str">
        <f ca="1">OFFSET(データ!$B$2, 0, $F24 - 1) &amp; ""</f>
        <v>T.上限値（規格1)</v>
      </c>
      <c r="E24" s="20" t="str">
        <f ca="1">OFFSET(データ!$B$3, 0, $F24 - 1) &amp; ""</f>
        <v>test_upper_limit_spec_1</v>
      </c>
      <c r="F24" s="1">
        <f t="shared" si="0"/>
        <v>22</v>
      </c>
      <c r="G24" s="1" t="str">
        <f ca="1" xml:space="preserve"> IF( D24 = "", "",
         IFERROR(VLOOKUP(D24, フィールドリスト[], COLUMN(フィールドリスト[Select用文字列]) - 1, FALSE), " , '' ")
       )</f>
        <v xml:space="preserve"> , T.UL1</v>
      </c>
    </row>
    <row r="25" spans="4:7" hidden="1" outlineLevel="1" x14ac:dyDescent="0.35">
      <c r="D25" s="20" t="str">
        <f ca="1">OFFSET(データ!$B$2, 0, $F25 - 1) &amp; ""</f>
        <v>T.上限値（規格2)</v>
      </c>
      <c r="E25" s="20" t="str">
        <f ca="1">OFFSET(データ!$B$3, 0, $F25 - 1) &amp; ""</f>
        <v>test_upper_limit_spec_2</v>
      </c>
      <c r="F25" s="1">
        <f t="shared" si="0"/>
        <v>23</v>
      </c>
      <c r="G25" s="1" t="str">
        <f ca="1" xml:space="preserve"> IF( D25 = "", "",
         IFERROR(VLOOKUP(D25, フィールドリスト[], COLUMN(フィールドリスト[Select用文字列]) - 1, FALSE), " , '' ")
       )</f>
        <v xml:space="preserve"> , T.UL2</v>
      </c>
    </row>
    <row r="26" spans="4:7" hidden="1" outlineLevel="1" x14ac:dyDescent="0.35">
      <c r="D26" s="20" t="str">
        <f ca="1">OFFSET(データ!$B$2, 0, $F26 - 1) &amp; ""</f>
        <v>T.上限値（規格3)</v>
      </c>
      <c r="E26" s="20" t="str">
        <f ca="1">OFFSET(データ!$B$3, 0, $F26 - 1) &amp; ""</f>
        <v>test_upper_limit_spec_3</v>
      </c>
      <c r="F26" s="1">
        <f t="shared" si="0"/>
        <v>24</v>
      </c>
      <c r="G26" s="1" t="str">
        <f ca="1" xml:space="preserve"> IF( D26 = "", "",
         IFERROR(VLOOKUP(D26, フィールドリスト[], COLUMN(フィールドリスト[Select用文字列]) - 1, FALSE), " , '' ")
       )</f>
        <v xml:space="preserve"> , T.UL3</v>
      </c>
    </row>
    <row r="27" spans="4:7" hidden="1" outlineLevel="1" x14ac:dyDescent="0.35">
      <c r="D27" s="20" t="str">
        <f ca="1">OFFSET(データ!$B$2, 0, $F27 - 1) &amp; ""</f>
        <v>T.上限値（規格4)</v>
      </c>
      <c r="E27" s="20" t="str">
        <f ca="1">OFFSET(データ!$B$3, 0, $F27 - 1) &amp; ""</f>
        <v>test_upper_limit_spec_4</v>
      </c>
      <c r="F27" s="1">
        <f t="shared" si="0"/>
        <v>25</v>
      </c>
      <c r="G27" s="1" t="str">
        <f ca="1" xml:space="preserve"> IF( D27 = "", "",
         IFERROR(VLOOKUP(D27, フィールドリスト[], COLUMN(フィールドリスト[Select用文字列]) - 1, FALSE), " , '' ")
       )</f>
        <v xml:space="preserve"> , T.UL4</v>
      </c>
    </row>
    <row r="28" spans="4:7" hidden="1" outlineLevel="1" x14ac:dyDescent="0.35">
      <c r="D28" s="20" t="str">
        <f ca="1">OFFSET(データ!$B$2, 0, $F28 - 1) &amp; ""</f>
        <v>T.下限値（規格1）</v>
      </c>
      <c r="E28" s="20" t="str">
        <f ca="1">OFFSET(データ!$B$3, 0, $F28 - 1) &amp; ""</f>
        <v>test_lower_limit_spec_1</v>
      </c>
      <c r="F28" s="1">
        <f t="shared" si="0"/>
        <v>26</v>
      </c>
      <c r="G28" s="1" t="str">
        <f ca="1" xml:space="preserve"> IF( D28 = "", "",
         IFERROR(VLOOKUP(D28, フィールドリスト[], COLUMN(フィールドリスト[Select用文字列]) - 1, FALSE), " , '' ")
       )</f>
        <v xml:space="preserve"> , T.LL1</v>
      </c>
    </row>
    <row r="29" spans="4:7" hidden="1" outlineLevel="1" x14ac:dyDescent="0.35">
      <c r="D29" s="20" t="str">
        <f ca="1">OFFSET(データ!$B$2, 0, $F29 - 1) &amp; ""</f>
        <v>T.下限値（規格2）</v>
      </c>
      <c r="E29" s="20" t="str">
        <f ca="1">OFFSET(データ!$B$3, 0, $F29 - 1) &amp; ""</f>
        <v>test_lower_limit_spec_2</v>
      </c>
      <c r="F29" s="1">
        <f t="shared" si="0"/>
        <v>27</v>
      </c>
      <c r="G29" s="1" t="str">
        <f ca="1" xml:space="preserve"> IF( D29 = "", "",
         IFERROR(VLOOKUP(D29, フィールドリスト[], COLUMN(フィールドリスト[Select用文字列]) - 1, FALSE), " , '' ")
       )</f>
        <v xml:space="preserve"> , T.LL2</v>
      </c>
    </row>
    <row r="30" spans="4:7" hidden="1" outlineLevel="1" x14ac:dyDescent="0.35">
      <c r="D30" s="20" t="str">
        <f ca="1">OFFSET(データ!$B$2, 0, $F30 - 1) &amp; ""</f>
        <v>T.下限値（規格3）</v>
      </c>
      <c r="E30" s="20" t="str">
        <f ca="1">OFFSET(データ!$B$3, 0, $F30 - 1) &amp; ""</f>
        <v>test_lower_limit_spec_3</v>
      </c>
      <c r="F30" s="1">
        <f t="shared" si="0"/>
        <v>28</v>
      </c>
      <c r="G30" s="1" t="str">
        <f ca="1" xml:space="preserve"> IF( D30 = "", "",
         IFERROR(VLOOKUP(D30, フィールドリスト[], COLUMN(フィールドリスト[Select用文字列]) - 1, FALSE), " , '' ")
       )</f>
        <v xml:space="preserve"> , T.LL3</v>
      </c>
    </row>
    <row r="31" spans="4:7" hidden="1" outlineLevel="1" x14ac:dyDescent="0.35">
      <c r="D31" s="20" t="str">
        <f ca="1">OFFSET(データ!$B$2, 0, $F31 - 1) &amp; ""</f>
        <v>T.下限値（規格4）</v>
      </c>
      <c r="E31" s="20" t="str">
        <f ca="1">OFFSET(データ!$B$3, 0, $F31 - 1) &amp; ""</f>
        <v>test_lower_limit_spec_4</v>
      </c>
      <c r="F31" s="1">
        <f t="shared" si="0"/>
        <v>29</v>
      </c>
      <c r="G31" s="1" t="str">
        <f ca="1" xml:space="preserve"> IF( D31 = "", "",
         IFERROR(VLOOKUP(D31, フィールドリスト[], COLUMN(フィールドリスト[Select用文字列]) - 1, FALSE), " , '' ")
       )</f>
        <v xml:space="preserve"> , T.LL4</v>
      </c>
    </row>
    <row r="32" spans="4:7" hidden="1" outlineLevel="1" x14ac:dyDescent="0.35">
      <c r="D32" s="20" t="str">
        <f ca="1">OFFSET(データ!$B$2, 0, $F32 - 1) &amp; ""</f>
        <v>T.上限値（定量限界）</v>
      </c>
      <c r="E32" s="20" t="str">
        <f ca="1">OFFSET(データ!$B$3, 0, $F32 - 1) &amp; ""</f>
        <v>test_upper_quantitation_limit</v>
      </c>
      <c r="F32" s="1">
        <f t="shared" si="0"/>
        <v>30</v>
      </c>
      <c r="G32" s="1" t="str">
        <f ca="1" xml:space="preserve"> IF( D32 = "", "",
         IFERROR(VLOOKUP(D32, フィールドリスト[], COLUMN(フィールドリスト[Select用文字列]) - 1, FALSE), " , '' ")
       )</f>
        <v xml:space="preserve"> , T.UL</v>
      </c>
    </row>
    <row r="33" spans="4:7" hidden="1" outlineLevel="1" x14ac:dyDescent="0.35">
      <c r="D33" s="20" t="str">
        <f ca="1">OFFSET(データ!$B$2, 0, $F33 - 1) &amp; ""</f>
        <v>T.下限値（定量限界）</v>
      </c>
      <c r="E33" s="20" t="str">
        <f ca="1">OFFSET(データ!$B$3, 0, $F33 - 1) &amp; ""</f>
        <v>test_lower_quantitation_limit</v>
      </c>
      <c r="F33" s="1">
        <f t="shared" si="0"/>
        <v>31</v>
      </c>
      <c r="G33" s="1" t="str">
        <f ca="1" xml:space="preserve"> IF( D33 = "", "",
         IFERROR(VLOOKUP(D33, フィールドリスト[], COLUMN(フィールドリスト[Select用文字列]) - 1, FALSE), " , '' ")
       )</f>
        <v xml:space="preserve"> , T.LL</v>
      </c>
    </row>
    <row r="34" spans="4:7" hidden="1" outlineLevel="1" x14ac:dyDescent="0.35">
      <c r="D34" s="20" t="str">
        <f ca="1">OFFSET(データ!$B$2, 0, $F34 - 1) &amp; ""</f>
        <v>S.依頼者</v>
      </c>
      <c r="E34" s="20" t="str">
        <f ca="1">OFFSET(データ!$B$3, 0, $F34 - 1) &amp; ""</f>
        <v>sample_requester</v>
      </c>
      <c r="F34" s="1">
        <f t="shared" si="0"/>
        <v>32</v>
      </c>
      <c r="G34" s="1" t="str">
        <f ca="1" xml:space="preserve"> IF( D34 = "", "",
         IFERROR(VLOOKUP(D34, フィールドリスト[], COLUMN(フィールドリスト[Select用文字列]) - 1, FALSE), " , '' ")
       )</f>
        <v xml:space="preserve"> , S.REQUSRCD</v>
      </c>
    </row>
    <row r="35" spans="4:7" hidden="1" outlineLevel="1" x14ac:dyDescent="0.35">
      <c r="D35" s="20" t="str">
        <f ca="1">OFFSET(データ!$B$2, 0, $F35 - 1) &amp; ""</f>
        <v>S.承認者</v>
      </c>
      <c r="E35" s="20" t="str">
        <f ca="1">OFFSET(データ!$B$3, 0, $F35 - 1) &amp; ""</f>
        <v>sample_approver</v>
      </c>
      <c r="F35" s="1">
        <f t="shared" ref="F35:F67" si="1">ROW() - ROW($F$2)</f>
        <v>33</v>
      </c>
      <c r="G35" s="1" t="str">
        <f ca="1" xml:space="preserve"> IF( D35 = "", "",
         IFERROR(VLOOKUP(D35, フィールドリスト[], COLUMN(フィールドリスト[Select用文字列]) - 1, FALSE), " , '' ")
       )</f>
        <v xml:space="preserve"> , S.APRUSRCD</v>
      </c>
    </row>
    <row r="36" spans="4:7" hidden="1" outlineLevel="1" x14ac:dyDescent="0.35">
      <c r="D36" s="20" t="str">
        <f ca="1">OFFSET(データ!$B$2, 0, $F36 - 1) &amp; ""</f>
        <v>S.承認者</v>
      </c>
      <c r="E36" s="20" t="str">
        <f ca="1">OFFSET(データ!$B$3, 0, $F36 - 1) &amp; ""</f>
        <v>sample_approver_name</v>
      </c>
      <c r="F36" s="1">
        <f t="shared" si="1"/>
        <v>34</v>
      </c>
      <c r="G36" s="1" t="str">
        <f ca="1" xml:space="preserve"> IF( D36 = "", "",
         IFERROR(VLOOKUP(D36, フィールドリスト[], COLUMN(フィールドリスト[Select用文字列]) - 1, FALSE), " , '' ")
       )</f>
        <v xml:space="preserve"> , S.APRUSRCD</v>
      </c>
    </row>
    <row r="37" spans="4:7" hidden="1" outlineLevel="1" x14ac:dyDescent="0.35">
      <c r="D37" s="20" t="str">
        <f ca="1">OFFSET(データ!$B$2, 0, $F37 - 1) &amp; ""</f>
        <v>S.総合判定者</v>
      </c>
      <c r="E37" s="20" t="str">
        <f ca="1">OFFSET(データ!$B$3, 0, $F37 - 1) &amp; ""</f>
        <v>sample_overall_judge</v>
      </c>
      <c r="F37" s="1">
        <f t="shared" si="1"/>
        <v>35</v>
      </c>
      <c r="G37" s="1" t="str">
        <f ca="1" xml:space="preserve"> IF( D37 = "", "",
         IFERROR(VLOOKUP(D37, フィールドリスト[], COLUMN(フィールドリスト[Select用文字列]) - 1, FALSE), " , '' ")
       )</f>
        <v xml:space="preserve"> , S.SMPINFX01</v>
      </c>
    </row>
    <row r="38" spans="4:7" hidden="1" outlineLevel="1" x14ac:dyDescent="0.35">
      <c r="D38" s="20" t="str">
        <f ca="1">OFFSET(データ!$B$2, 0, $F38 - 1) &amp; ""</f>
        <v>S.総合判定者</v>
      </c>
      <c r="E38" s="20" t="str">
        <f ca="1">OFFSET(データ!$B$3, 0, $F38 - 1) &amp; ""</f>
        <v>sample_overall_judge_name</v>
      </c>
      <c r="F38" s="1">
        <f t="shared" si="1"/>
        <v>36</v>
      </c>
      <c r="G38" s="1" t="str">
        <f ca="1" xml:space="preserve"> IF( D38 = "", "",
         IFERROR(VLOOKUP(D38, フィールドリスト[], COLUMN(フィールドリスト[Select用文字列]) - 1, FALSE), " , '' ")
       )</f>
        <v xml:space="preserve"> , S.SMPINFX01</v>
      </c>
    </row>
    <row r="39" spans="4:7" hidden="1" outlineLevel="1" x14ac:dyDescent="0.35">
      <c r="D39" s="20" t="str">
        <f ca="1">OFFSET(データ!$B$2, 0, $F39 - 1) &amp; ""</f>
        <v>S.状態</v>
      </c>
      <c r="E39" s="20" t="str">
        <f ca="1">OFFSET(データ!$B$3, 0, $F39 - 1) &amp; ""</f>
        <v>sample_status</v>
      </c>
      <c r="F39" s="1">
        <f t="shared" si="1"/>
        <v>37</v>
      </c>
      <c r="G39" s="1" t="str">
        <f ca="1" xml:space="preserve"> IF( D39 = "", "",
         IFERROR(VLOOKUP(D39, フィールドリスト[], COLUMN(フィールドリスト[Select用文字列]) - 1, FALSE), " , '' ")
       )</f>
        <v xml:space="preserve"> , S.STATE</v>
      </c>
    </row>
    <row r="40" spans="4:7" hidden="1" outlineLevel="1" x14ac:dyDescent="0.35">
      <c r="D40" s="20" t="str">
        <f ca="1">OFFSET(データ!$B$2, 0, $F40 - 1) &amp; ""</f>
        <v>T.状態</v>
      </c>
      <c r="E40" s="20" t="str">
        <f ca="1">OFFSET(データ!$B$3, 0, $F40 - 1) &amp; ""</f>
        <v>test_status</v>
      </c>
      <c r="F40" s="1">
        <f t="shared" si="1"/>
        <v>38</v>
      </c>
      <c r="G40" s="1" t="str">
        <f ca="1" xml:space="preserve"> IF( D40 = "", "",
         IFERROR(VLOOKUP(D40, フィールドリスト[], COLUMN(フィールドリスト[Select用文字列]) - 1, FALSE), " , '' ")
       )</f>
        <v xml:space="preserve"> , T.STATE</v>
      </c>
    </row>
    <row r="41" spans="4:7" hidden="1" outlineLevel="1" x14ac:dyDescent="0.35">
      <c r="D41" s="20" t="str">
        <f ca="1">OFFSET(データ!$B$2, 0, $F41 - 1) &amp; ""</f>
        <v>T.等級コード</v>
      </c>
      <c r="E41" s="20" t="str">
        <f ca="1">OFFSET(データ!$B$3, 0, $F41 - 1) &amp; ""</f>
        <v>test_grade_code</v>
      </c>
      <c r="F41" s="1">
        <f t="shared" si="1"/>
        <v>39</v>
      </c>
      <c r="G41" s="1" t="str">
        <f ca="1" xml:space="preserve"> IF( D41 = "", "",
         IFERROR(VLOOKUP(D41, フィールドリスト[], COLUMN(フィールドリスト[Select用文字列]) - 1, FALSE), " , '' ")
       )</f>
        <v xml:space="preserve"> , T.RATCD</v>
      </c>
    </row>
    <row r="42" spans="4:7" hidden="1" outlineLevel="1" x14ac:dyDescent="0.35">
      <c r="D42" s="20" t="str">
        <f ca="1">OFFSET(データ!$B$2, 0, $F42 - 1) &amp; ""</f>
        <v>S.規格はずれフラグ</v>
      </c>
      <c r="E42" s="20" t="str">
        <f ca="1">OFFSET(データ!$B$3, 0, $F42 - 1) &amp; ""</f>
        <v>sample_out_of_spec_flag</v>
      </c>
      <c r="F42" s="1">
        <f t="shared" si="1"/>
        <v>40</v>
      </c>
      <c r="G42" s="1" t="str">
        <f ca="1" xml:space="preserve"> IF( D42 = "", "",
         IFERROR(VLOOKUP(D42, フィールドリスト[], COLUMN(フィールドリスト[Select用文字列]) - 1, FALSE), " , '' ")
       )</f>
        <v xml:space="preserve"> , S.OFFSPCF</v>
      </c>
    </row>
    <row r="43" spans="4:7" hidden="1" outlineLevel="1" x14ac:dyDescent="0.35">
      <c r="D43" s="20" t="str">
        <f ca="1">OFFSET(データ!$B$2, 0, $F43 - 1) &amp; ""</f>
        <v>-</v>
      </c>
      <c r="E43" s="20" t="str">
        <f ca="1">OFFSET(データ!$B$3, 0, $F43 - 1) &amp; ""</f>
        <v>test_judgment</v>
      </c>
      <c r="F43" s="1">
        <f t="shared" si="1"/>
        <v>41</v>
      </c>
      <c r="G43" s="1" t="str">
        <f ca="1" xml:space="preserve"> IF( D43 = "", "",
         IFERROR(VLOOKUP(D43, フィールドリスト[], COLUMN(フィールドリスト[Select用文字列]) - 1, FALSE), " , '' ")
       )</f>
        <v xml:space="preserve"> , '' </v>
      </c>
    </row>
    <row r="44" spans="4:7" hidden="1" outlineLevel="1" x14ac:dyDescent="0.35">
      <c r="D44" s="20" t="str">
        <f ca="1">OFFSET(データ!$B$2, 0, $F44 - 1) &amp; ""</f>
        <v>-</v>
      </c>
      <c r="E44" s="20" t="str">
        <f ca="1">OFFSET(データ!$B$3, 0, $F44 - 1) &amp; ""</f>
        <v>test_hidden_flag</v>
      </c>
      <c r="F44" s="1">
        <f t="shared" si="1"/>
        <v>42</v>
      </c>
      <c r="G44" s="1" t="str">
        <f ca="1" xml:space="preserve"> IF( D44 = "", "",
         IFERROR(VLOOKUP(D44, フィールドリスト[], COLUMN(フィールドリスト[Select用文字列]) - 1, FALSE), " , '' ")
       )</f>
        <v xml:space="preserve"> , '' </v>
      </c>
    </row>
    <row r="45" spans="4:7" hidden="1" outlineLevel="1" x14ac:dyDescent="0.35">
      <c r="D45" s="20" t="str">
        <f ca="1">OFFSET(データ!$B$2, 0, $F45 - 1) &amp; ""</f>
        <v>-</v>
      </c>
      <c r="E45" s="20" t="str">
        <f ca="1">OFFSET(データ!$B$3, 0, $F45 - 1) &amp; ""</f>
        <v>test_report_value_flag</v>
      </c>
      <c r="F45" s="1">
        <f t="shared" si="1"/>
        <v>43</v>
      </c>
      <c r="G45" s="1" t="str">
        <f ca="1" xml:space="preserve"> IF( D45 = "", "",
         IFERROR(VLOOKUP(D45, フィールドリスト[], COLUMN(フィールドリスト[Select用文字列]) - 1, FALSE), " , '' ")
       )</f>
        <v xml:space="preserve"> , '' </v>
      </c>
    </row>
    <row r="46" spans="4:7" hidden="1" outlineLevel="1" x14ac:dyDescent="0.35">
      <c r="D46" s="20" t="str">
        <f ca="1">OFFSET(データ!$B$2, 0, $F46 - 1) &amp; ""</f>
        <v/>
      </c>
      <c r="E46" s="20" t="str">
        <f ca="1">OFFSET(データ!$B$3, 0, $F46 - 1) &amp; ""</f>
        <v/>
      </c>
      <c r="F46" s="1">
        <f t="shared" si="1"/>
        <v>44</v>
      </c>
      <c r="G46" s="1" t="str">
        <f ca="1" xml:space="preserve"> IF( D46 = "", "",
         IFERROR(VLOOKUP(D46, フィールドリスト[], COLUMN(フィールドリスト[Select用文字列]) - 1, FALSE), " , '' ")
       )</f>
        <v/>
      </c>
    </row>
    <row r="47" spans="4:7" hidden="1" outlineLevel="1" x14ac:dyDescent="0.35">
      <c r="D47" s="20" t="str">
        <f ca="1">OFFSET(データ!$B$2, 0, $F47 - 1) &amp; ""</f>
        <v/>
      </c>
      <c r="E47" s="20" t="str">
        <f ca="1">OFFSET(データ!$B$3, 0, $F47 - 1) &amp; ""</f>
        <v/>
      </c>
      <c r="F47" s="1">
        <f t="shared" si="1"/>
        <v>45</v>
      </c>
      <c r="G47" s="1" t="str">
        <f ca="1" xml:space="preserve"> IF( D47 = "", "",
         IFERROR(VLOOKUP(D47, フィールドリスト[], COLUMN(フィールドリスト[Select用文字列]) - 1, FALSE), " , '' ")
       )</f>
        <v/>
      </c>
    </row>
    <row r="48" spans="4:7" hidden="1" outlineLevel="1" x14ac:dyDescent="0.35">
      <c r="D48" s="20" t="str">
        <f ca="1">OFFSET(データ!$B$2, 0, $F48 - 1) &amp; ""</f>
        <v/>
      </c>
      <c r="E48" s="20" t="str">
        <f ca="1">OFFSET(データ!$B$3, 0, $F48 - 1) &amp; ""</f>
        <v/>
      </c>
      <c r="F48" s="1">
        <f t="shared" si="1"/>
        <v>46</v>
      </c>
      <c r="G48" s="1" t="str">
        <f ca="1" xml:space="preserve"> IF( D48 = "", "",
         IFERROR(VLOOKUP(D48, フィールドリスト[], COLUMN(フィールドリスト[Select用文字列]) - 1, FALSE), " , '' ")
       )</f>
        <v/>
      </c>
    </row>
    <row r="49" spans="4:7" hidden="1" outlineLevel="1" x14ac:dyDescent="0.35">
      <c r="D49" s="20" t="str">
        <f ca="1">OFFSET(データ!$B$2, 0, $F49 - 1) &amp; ""</f>
        <v/>
      </c>
      <c r="E49" s="20" t="str">
        <f ca="1">OFFSET(データ!$B$3, 0, $F49 - 1) &amp; ""</f>
        <v/>
      </c>
      <c r="F49" s="1">
        <f t="shared" si="1"/>
        <v>47</v>
      </c>
      <c r="G49" s="1" t="str">
        <f ca="1" xml:space="preserve"> IF( D49 = "", "",
         IFERROR(VLOOKUP(D49, フィールドリスト[], COLUMN(フィールドリスト[Select用文字列]) - 1, FALSE), " , '' ")
       )</f>
        <v/>
      </c>
    </row>
    <row r="50" spans="4:7" hidden="1" outlineLevel="1" x14ac:dyDescent="0.35">
      <c r="D50" s="20" t="str">
        <f ca="1">OFFSET(データ!$B$2, 0, $F50 - 1) &amp; ""</f>
        <v/>
      </c>
      <c r="E50" s="20" t="str">
        <f ca="1">OFFSET(データ!$B$3, 0, $F50 - 1) &amp; ""</f>
        <v/>
      </c>
      <c r="F50" s="1">
        <f t="shared" si="1"/>
        <v>48</v>
      </c>
      <c r="G50" s="1" t="str">
        <f ca="1" xml:space="preserve"> IF( D50 = "", "",
         IFERROR(VLOOKUP(D50, フィールドリスト[], COLUMN(フィールドリスト[Select用文字列]) - 1, FALSE), " , '' ")
       )</f>
        <v/>
      </c>
    </row>
    <row r="51" spans="4:7" hidden="1" outlineLevel="1" x14ac:dyDescent="0.35">
      <c r="D51" s="20" t="str">
        <f ca="1">OFFSET(データ!$B$2, 0, $F51 - 1) &amp; ""</f>
        <v/>
      </c>
      <c r="E51" s="20" t="str">
        <f ca="1">OFFSET(データ!$B$3, 0, $F51 - 1) &amp; ""</f>
        <v/>
      </c>
      <c r="F51" s="1">
        <f t="shared" si="1"/>
        <v>49</v>
      </c>
      <c r="G51" s="1" t="str">
        <f ca="1" xml:space="preserve"> IF( D51 = "", "",
         IFERROR(VLOOKUP(D51, フィールドリスト[], COLUMN(フィールドリスト[Select用文字列]) - 1, FALSE), " , '' ")
       )</f>
        <v/>
      </c>
    </row>
    <row r="52" spans="4:7" hidden="1" outlineLevel="1" x14ac:dyDescent="0.35">
      <c r="D52" s="20" t="str">
        <f ca="1">OFFSET(データ!$B$2, 0, $F52 - 1) &amp; ""</f>
        <v/>
      </c>
      <c r="E52" s="20" t="str">
        <f ca="1">OFFSET(データ!$B$3, 0, $F52 - 1) &amp; ""</f>
        <v/>
      </c>
      <c r="F52" s="1">
        <f t="shared" si="1"/>
        <v>50</v>
      </c>
      <c r="G52" s="1" t="str">
        <f ca="1" xml:space="preserve"> IF( D52 = "", "",
         IFERROR(VLOOKUP(D52, フィールドリスト[], COLUMN(フィールドリスト[Select用文字列]) - 1, FALSE), " , '' ")
       )</f>
        <v/>
      </c>
    </row>
    <row r="53" spans="4:7" hidden="1" outlineLevel="1" x14ac:dyDescent="0.35">
      <c r="D53" s="20" t="str">
        <f ca="1">OFFSET(データ!$B$2, 0, $F53 - 1) &amp; ""</f>
        <v/>
      </c>
      <c r="E53" s="20" t="str">
        <f ca="1">OFFSET(データ!$B$3, 0, $F53 - 1) &amp; ""</f>
        <v/>
      </c>
      <c r="F53" s="1">
        <f t="shared" si="1"/>
        <v>51</v>
      </c>
      <c r="G53" s="1" t="str">
        <f ca="1" xml:space="preserve"> IF( D53 = "", "",
         IFERROR(VLOOKUP(D53, フィールドリスト[], COLUMN(フィールドリスト[Select用文字列]) - 1, FALSE), " , '' ")
       )</f>
        <v/>
      </c>
    </row>
    <row r="54" spans="4:7" hidden="1" outlineLevel="1" x14ac:dyDescent="0.35">
      <c r="D54" s="20" t="str">
        <f ca="1">OFFSET(データ!$B$2, 0, $F54 - 1) &amp; ""</f>
        <v/>
      </c>
      <c r="E54" s="20" t="str">
        <f ca="1">OFFSET(データ!$B$3, 0, $F54 - 1) &amp; ""</f>
        <v/>
      </c>
      <c r="F54" s="1">
        <f t="shared" si="1"/>
        <v>52</v>
      </c>
      <c r="G54" s="1" t="str">
        <f ca="1" xml:space="preserve"> IF( D54 = "", "",
         IFERROR(VLOOKUP(D54, フィールドリスト[], COLUMN(フィールドリスト[Select用文字列]) - 1, FALSE), " , '' ")
       )</f>
        <v/>
      </c>
    </row>
    <row r="55" spans="4:7" hidden="1" outlineLevel="1" x14ac:dyDescent="0.35">
      <c r="D55" s="20" t="str">
        <f ca="1">OFFSET(データ!$B$2, 0, $F55 - 1) &amp; ""</f>
        <v/>
      </c>
      <c r="E55" s="20" t="str">
        <f ca="1">OFFSET(データ!$B$3, 0, $F55 - 1) &amp; ""</f>
        <v/>
      </c>
      <c r="F55" s="1">
        <f t="shared" si="1"/>
        <v>53</v>
      </c>
      <c r="G55" s="1" t="str">
        <f ca="1" xml:space="preserve"> IF( D55 = "", "",
         IFERROR(VLOOKUP(D55, フィールドリスト[], COLUMN(フィールドリスト[Select用文字列]) - 1, FALSE), " , '' ")
       )</f>
        <v/>
      </c>
    </row>
    <row r="56" spans="4:7" hidden="1" outlineLevel="1" x14ac:dyDescent="0.35">
      <c r="D56" s="20" t="str">
        <f ca="1">OFFSET(データ!$B$2, 0, $F56 - 1) &amp; ""</f>
        <v/>
      </c>
      <c r="E56" s="20" t="str">
        <f ca="1">OFFSET(データ!$B$3, 0, $F56 - 1) &amp; ""</f>
        <v/>
      </c>
      <c r="F56" s="1">
        <f t="shared" si="1"/>
        <v>54</v>
      </c>
      <c r="G56" s="1" t="str">
        <f ca="1" xml:space="preserve"> IF( D56 = "", "",
         IFERROR(VLOOKUP(D56, フィールドリスト[], COLUMN(フィールドリスト[Select用文字列]) - 1, FALSE), " , '' ")
       )</f>
        <v/>
      </c>
    </row>
    <row r="57" spans="4:7" hidden="1" outlineLevel="1" x14ac:dyDescent="0.35">
      <c r="D57" s="20" t="str">
        <f ca="1">OFFSET(データ!$B$2, 0, $F57 - 1) &amp; ""</f>
        <v/>
      </c>
      <c r="E57" s="20" t="str">
        <f ca="1">OFFSET(データ!$B$3, 0, $F57 - 1) &amp; ""</f>
        <v/>
      </c>
      <c r="F57" s="1">
        <f t="shared" si="1"/>
        <v>55</v>
      </c>
      <c r="G57" s="1" t="str">
        <f ca="1" xml:space="preserve"> IF( D57 = "", "",
         IFERROR(VLOOKUP(D57, フィールドリスト[], COLUMN(フィールドリスト[Select用文字列]) - 1, FALSE), " , '' ")
       )</f>
        <v/>
      </c>
    </row>
    <row r="58" spans="4:7" hidden="1" outlineLevel="1" x14ac:dyDescent="0.35">
      <c r="D58" s="20" t="str">
        <f ca="1">OFFSET(データ!$B$2, 0, $F58 - 1) &amp; ""</f>
        <v/>
      </c>
      <c r="E58" s="20" t="str">
        <f ca="1">OFFSET(データ!$B$3, 0, $F58 - 1) &amp; ""</f>
        <v/>
      </c>
      <c r="F58" s="1">
        <f t="shared" si="1"/>
        <v>56</v>
      </c>
      <c r="G58" s="1" t="str">
        <f ca="1" xml:space="preserve"> IF( D58 = "", "",
         IFERROR(VLOOKUP(D58, フィールドリスト[], COLUMN(フィールドリスト[Select用文字列]) - 1, FALSE), " , '' ")
       )</f>
        <v/>
      </c>
    </row>
    <row r="59" spans="4:7" hidden="1" outlineLevel="1" x14ac:dyDescent="0.35">
      <c r="D59" s="20" t="str">
        <f ca="1">OFFSET(データ!$B$2, 0, $F59 - 1) &amp; ""</f>
        <v/>
      </c>
      <c r="E59" s="20" t="str">
        <f ca="1">OFFSET(データ!$B$3, 0, $F59 - 1) &amp; ""</f>
        <v/>
      </c>
      <c r="F59" s="1">
        <f t="shared" si="1"/>
        <v>57</v>
      </c>
      <c r="G59" s="1" t="str">
        <f ca="1" xml:space="preserve"> IF( D59 = "", "",
         IFERROR(VLOOKUP(D59, フィールドリスト[], COLUMN(フィールドリスト[Select用文字列]) - 1, FALSE), " , '' ")
       )</f>
        <v/>
      </c>
    </row>
    <row r="60" spans="4:7" hidden="1" outlineLevel="1" x14ac:dyDescent="0.35">
      <c r="D60" s="20" t="str">
        <f ca="1">OFFSET(データ!$B$2, 0, $F60 - 1) &amp; ""</f>
        <v/>
      </c>
      <c r="E60" s="20" t="str">
        <f ca="1">OFFSET(データ!$B$3, 0, $F60 - 1) &amp; ""</f>
        <v/>
      </c>
      <c r="F60" s="1">
        <f t="shared" si="1"/>
        <v>58</v>
      </c>
      <c r="G60" s="1" t="str">
        <f ca="1" xml:space="preserve"> IF( D60 = "", "",
         IFERROR(VLOOKUP(D60, フィールドリスト[], COLUMN(フィールドリスト[Select用文字列]) - 1, FALSE), " , '' ")
       )</f>
        <v/>
      </c>
    </row>
    <row r="61" spans="4:7" hidden="1" outlineLevel="1" x14ac:dyDescent="0.35">
      <c r="D61" s="20" t="str">
        <f ca="1">OFFSET(データ!$B$2, 0, $F61 - 1) &amp; ""</f>
        <v/>
      </c>
      <c r="E61" s="20" t="str">
        <f ca="1">OFFSET(データ!$B$3, 0, $F61 - 1) &amp; ""</f>
        <v/>
      </c>
      <c r="F61" s="1">
        <f t="shared" si="1"/>
        <v>59</v>
      </c>
      <c r="G61" s="1" t="str">
        <f ca="1" xml:space="preserve"> IF( D61 = "", "",
         IFERROR(VLOOKUP(D61, フィールドリスト[], COLUMN(フィールドリスト[Select用文字列]) - 1, FALSE), " , '' ")
       )</f>
        <v/>
      </c>
    </row>
    <row r="62" spans="4:7" hidden="1" outlineLevel="1" x14ac:dyDescent="0.35">
      <c r="D62" s="20" t="str">
        <f ca="1">OFFSET(データ!$B$2, 0, $F62 - 1) &amp; ""</f>
        <v/>
      </c>
      <c r="E62" s="20" t="str">
        <f ca="1">OFFSET(データ!$B$3, 0, $F62 - 1) &amp; ""</f>
        <v/>
      </c>
      <c r="F62" s="1">
        <f t="shared" si="1"/>
        <v>60</v>
      </c>
      <c r="G62" s="1" t="str">
        <f ca="1" xml:space="preserve"> IF( D62 = "", "",
         IFERROR(VLOOKUP(D62, フィールドリスト[], COLUMN(フィールドリスト[Select用文字列]) - 1, FALSE), " , '' ")
       )</f>
        <v/>
      </c>
    </row>
    <row r="63" spans="4:7" hidden="1" outlineLevel="1" x14ac:dyDescent="0.35">
      <c r="D63" s="20" t="str">
        <f ca="1">OFFSET(データ!$B$2, 0, $F63 - 1) &amp; ""</f>
        <v/>
      </c>
      <c r="E63" s="20" t="str">
        <f ca="1">OFFSET(データ!$B$3, 0, $F63 - 1) &amp; ""</f>
        <v/>
      </c>
      <c r="F63" s="1">
        <f t="shared" si="1"/>
        <v>61</v>
      </c>
      <c r="G63" s="1" t="str">
        <f ca="1" xml:space="preserve"> IF( D63 = "", "",
         IFERROR(VLOOKUP(D63, フィールドリスト[], COLUMN(フィールドリスト[Select用文字列]) - 1, FALSE), " , '' ")
       )</f>
        <v/>
      </c>
    </row>
    <row r="64" spans="4:7" hidden="1" outlineLevel="1" x14ac:dyDescent="0.35">
      <c r="D64" s="20" t="str">
        <f ca="1">OFFSET(データ!$B$2, 0, $F64 - 1) &amp; ""</f>
        <v/>
      </c>
      <c r="E64" s="20" t="str">
        <f ca="1">OFFSET(データ!$B$3, 0, $F64 - 1) &amp; ""</f>
        <v/>
      </c>
      <c r="F64" s="1">
        <f t="shared" si="1"/>
        <v>62</v>
      </c>
      <c r="G64" s="1" t="str">
        <f ca="1" xml:space="preserve"> IF( D64 = "", "",
         IFERROR(VLOOKUP(D64, フィールドリスト[], COLUMN(フィールドリスト[Select用文字列]) - 1, FALSE), " , '' ")
       )</f>
        <v/>
      </c>
    </row>
    <row r="65" spans="4:7" hidden="1" outlineLevel="1" x14ac:dyDescent="0.35">
      <c r="D65" s="20" t="str">
        <f ca="1">OFFSET(データ!$B$2, 0, $F65 - 1) &amp; ""</f>
        <v/>
      </c>
      <c r="E65" s="20" t="str">
        <f ca="1">OFFSET(データ!$B$3, 0, $F65 - 1) &amp; ""</f>
        <v/>
      </c>
      <c r="F65" s="1">
        <f t="shared" si="1"/>
        <v>63</v>
      </c>
      <c r="G65" s="1" t="str">
        <f ca="1" xml:space="preserve"> IF( D65 = "", "",
         IFERROR(VLOOKUP(D65, フィールドリスト[], COLUMN(フィールドリスト[Select用文字列]) - 1, FALSE), " , '' ")
       )</f>
        <v/>
      </c>
    </row>
    <row r="66" spans="4:7" hidden="1" outlineLevel="1" x14ac:dyDescent="0.35">
      <c r="D66" s="20" t="str">
        <f ca="1">OFFSET(データ!$B$2, 0, $F66 - 1) &amp; ""</f>
        <v/>
      </c>
      <c r="E66" s="20" t="str">
        <f ca="1">OFFSET(データ!$B$3, 0, $F66 - 1) &amp; ""</f>
        <v/>
      </c>
      <c r="F66" s="1">
        <f t="shared" si="1"/>
        <v>64</v>
      </c>
      <c r="G66" s="1" t="str">
        <f ca="1" xml:space="preserve"> IF( D66 = "", "",
         IFERROR(VLOOKUP(D66, フィールドリスト[], COLUMN(フィールドリスト[Select用文字列]) - 1, FALSE), " , '' ")
       )</f>
        <v/>
      </c>
    </row>
    <row r="67" spans="4:7" hidden="1" outlineLevel="1" x14ac:dyDescent="0.35">
      <c r="D67" s="20" t="str">
        <f ca="1">OFFSET(データ!$B$2, 0, $F67 - 1) &amp; ""</f>
        <v/>
      </c>
      <c r="E67" s="20" t="str">
        <f ca="1">OFFSET(データ!$B$3, 0, $F67 - 1) &amp; ""</f>
        <v/>
      </c>
      <c r="F67" s="1">
        <f t="shared" si="1"/>
        <v>65</v>
      </c>
      <c r="G67" s="1" t="str">
        <f ca="1" xml:space="preserve"> IF( D67 = "", "",
         IFERROR(VLOOKUP(D67, フィールドリスト[], COLUMN(フィールドリスト[Select用文字列]) - 1, FALSE), " , '' ")
       )</f>
        <v/>
      </c>
    </row>
    <row r="68" spans="4:7" hidden="1" outlineLevel="1" x14ac:dyDescent="0.35">
      <c r="D68" s="20" t="str">
        <f ca="1">OFFSET(データ!$B$2, 0, $F68 - 1) &amp; ""</f>
        <v/>
      </c>
      <c r="E68" s="20" t="str">
        <f ca="1">OFFSET(データ!$B$3, 0, $F68 - 1) &amp; ""</f>
        <v/>
      </c>
      <c r="F68" s="1">
        <f t="shared" ref="F68:F131" si="2">ROW() - ROW($F$2)</f>
        <v>66</v>
      </c>
      <c r="G68" s="1" t="str">
        <f ca="1" xml:space="preserve"> IF( D68 = "", "",
         IFERROR(VLOOKUP(D68, フィールドリスト[], COLUMN(フィールドリスト[Select用文字列]) - 1, FALSE), " , '' ")
       )</f>
        <v/>
      </c>
    </row>
    <row r="69" spans="4:7" hidden="1" outlineLevel="1" x14ac:dyDescent="0.35">
      <c r="D69" s="20" t="str">
        <f ca="1">OFFSET(データ!$B$2, 0, $F69 - 1) &amp; ""</f>
        <v/>
      </c>
      <c r="E69" s="20" t="str">
        <f ca="1">OFFSET(データ!$B$3, 0, $F69 - 1) &amp; ""</f>
        <v/>
      </c>
      <c r="F69" s="1">
        <f t="shared" si="2"/>
        <v>67</v>
      </c>
      <c r="G69" s="1" t="str">
        <f ca="1" xml:space="preserve"> IF( D69 = "", "",
         IFERROR(VLOOKUP(D69, フィールドリスト[], COLUMN(フィールドリスト[Select用文字列]) - 1, FALSE), " , '' ")
       )</f>
        <v/>
      </c>
    </row>
    <row r="70" spans="4:7" hidden="1" outlineLevel="1" x14ac:dyDescent="0.35">
      <c r="D70" s="20" t="str">
        <f ca="1">OFFSET(データ!$B$2, 0, $F70 - 1) &amp; ""</f>
        <v/>
      </c>
      <c r="E70" s="20" t="str">
        <f ca="1">OFFSET(データ!$B$3, 0, $F70 - 1) &amp; ""</f>
        <v/>
      </c>
      <c r="F70" s="1">
        <f t="shared" si="2"/>
        <v>68</v>
      </c>
      <c r="G70" s="1" t="str">
        <f ca="1" xml:space="preserve"> IF( D70 = "", "",
         IFERROR(VLOOKUP(D70, フィールドリスト[], COLUMN(フィールドリスト[Select用文字列]) - 1, FALSE), " , '' ")
       )</f>
        <v/>
      </c>
    </row>
    <row r="71" spans="4:7" hidden="1" outlineLevel="1" x14ac:dyDescent="0.35">
      <c r="D71" s="20" t="str">
        <f ca="1">OFFSET(データ!$B$2, 0, $F71 - 1) &amp; ""</f>
        <v/>
      </c>
      <c r="E71" s="20" t="str">
        <f ca="1">OFFSET(データ!$B$3, 0, $F71 - 1) &amp; ""</f>
        <v/>
      </c>
      <c r="F71" s="1">
        <f t="shared" si="2"/>
        <v>69</v>
      </c>
      <c r="G71" s="1" t="str">
        <f ca="1" xml:space="preserve"> IF( D71 = "", "",
         IFERROR(VLOOKUP(D71, フィールドリスト[], COLUMN(フィールドリスト[Select用文字列]) - 1, FALSE), " , '' ")
       )</f>
        <v/>
      </c>
    </row>
    <row r="72" spans="4:7" hidden="1" outlineLevel="1" x14ac:dyDescent="0.35">
      <c r="D72" s="20" t="str">
        <f ca="1">OFFSET(データ!$B$2, 0, $F72 - 1) &amp; ""</f>
        <v/>
      </c>
      <c r="E72" s="20" t="str">
        <f ca="1">OFFSET(データ!$B$3, 0, $F72 - 1) &amp; ""</f>
        <v/>
      </c>
      <c r="F72" s="1">
        <f t="shared" si="2"/>
        <v>70</v>
      </c>
      <c r="G72" s="1" t="str">
        <f ca="1" xml:space="preserve"> IF( D72 = "", "",
         IFERROR(VLOOKUP(D72, フィールドリスト[], COLUMN(フィールドリスト[Select用文字列]) - 1, FALSE), " , '' ")
       )</f>
        <v/>
      </c>
    </row>
    <row r="73" spans="4:7" hidden="1" outlineLevel="1" x14ac:dyDescent="0.35">
      <c r="D73" s="20" t="str">
        <f ca="1">OFFSET(データ!$B$2, 0, $F73 - 1) &amp; ""</f>
        <v/>
      </c>
      <c r="E73" s="20" t="str">
        <f ca="1">OFFSET(データ!$B$3, 0, $F73 - 1) &amp; ""</f>
        <v/>
      </c>
      <c r="F73" s="1">
        <f t="shared" si="2"/>
        <v>71</v>
      </c>
      <c r="G73" s="1" t="str">
        <f ca="1" xml:space="preserve"> IF( D73 = "", "",
         IFERROR(VLOOKUP(D73, フィールドリスト[], COLUMN(フィールドリスト[Select用文字列]) - 1, FALSE), " , '' ")
       )</f>
        <v/>
      </c>
    </row>
    <row r="74" spans="4:7" hidden="1" outlineLevel="1" x14ac:dyDescent="0.35">
      <c r="D74" s="20" t="str">
        <f ca="1">OFFSET(データ!$B$2, 0, $F74 - 1) &amp; ""</f>
        <v/>
      </c>
      <c r="E74" s="20" t="str">
        <f ca="1">OFFSET(データ!$B$3, 0, $F74 - 1) &amp; ""</f>
        <v/>
      </c>
      <c r="F74" s="1">
        <f t="shared" si="2"/>
        <v>72</v>
      </c>
      <c r="G74" s="1" t="str">
        <f ca="1" xml:space="preserve"> IF( D74 = "", "",
         IFERROR(VLOOKUP(D74, フィールドリスト[], COLUMN(フィールドリスト[Select用文字列]) - 1, FALSE), " , '' ")
       )</f>
        <v/>
      </c>
    </row>
    <row r="75" spans="4:7" hidden="1" outlineLevel="1" x14ac:dyDescent="0.35">
      <c r="D75" s="20" t="str">
        <f ca="1">OFFSET(データ!$B$2, 0, $F75 - 1) &amp; ""</f>
        <v/>
      </c>
      <c r="E75" s="20" t="str">
        <f ca="1">OFFSET(データ!$B$3, 0, $F75 - 1) &amp; ""</f>
        <v/>
      </c>
      <c r="F75" s="1">
        <f t="shared" si="2"/>
        <v>73</v>
      </c>
      <c r="G75" s="1" t="str">
        <f ca="1" xml:space="preserve"> IF( D75 = "", "",
         IFERROR(VLOOKUP(D75, フィールドリスト[], COLUMN(フィールドリスト[Select用文字列]) - 1, FALSE), " , '' ")
       )</f>
        <v/>
      </c>
    </row>
    <row r="76" spans="4:7" hidden="1" outlineLevel="1" x14ac:dyDescent="0.35">
      <c r="D76" s="20" t="str">
        <f ca="1">OFFSET(データ!$B$2, 0, $F76 - 1) &amp; ""</f>
        <v/>
      </c>
      <c r="E76" s="20" t="str">
        <f ca="1">OFFSET(データ!$B$3, 0, $F76 - 1) &amp; ""</f>
        <v/>
      </c>
      <c r="F76" s="1">
        <f t="shared" si="2"/>
        <v>74</v>
      </c>
      <c r="G76" s="1" t="str">
        <f ca="1" xml:space="preserve"> IF( D76 = "", "",
         IFERROR(VLOOKUP(D76, フィールドリスト[], COLUMN(フィールドリスト[Select用文字列]) - 1, FALSE), " , '' ")
       )</f>
        <v/>
      </c>
    </row>
    <row r="77" spans="4:7" hidden="1" outlineLevel="1" x14ac:dyDescent="0.35">
      <c r="D77" s="20" t="str">
        <f ca="1">OFFSET(データ!$B$2, 0, $F77 - 1) &amp; ""</f>
        <v/>
      </c>
      <c r="E77" s="20" t="str">
        <f ca="1">OFFSET(データ!$B$3, 0, $F77 - 1) &amp; ""</f>
        <v/>
      </c>
      <c r="F77" s="1">
        <f t="shared" si="2"/>
        <v>75</v>
      </c>
      <c r="G77" s="1" t="str">
        <f ca="1" xml:space="preserve"> IF( D77 = "", "",
         IFERROR(VLOOKUP(D77, フィールドリスト[], COLUMN(フィールドリスト[Select用文字列]) - 1, FALSE), " , '' ")
       )</f>
        <v/>
      </c>
    </row>
    <row r="78" spans="4:7" hidden="1" outlineLevel="1" x14ac:dyDescent="0.35">
      <c r="D78" s="20" t="str">
        <f ca="1">OFFSET(データ!$B$2, 0, $F78 - 1) &amp; ""</f>
        <v/>
      </c>
      <c r="E78" s="20" t="str">
        <f ca="1">OFFSET(データ!$B$3, 0, $F78 - 1) &amp; ""</f>
        <v/>
      </c>
      <c r="F78" s="1">
        <f t="shared" si="2"/>
        <v>76</v>
      </c>
      <c r="G78" s="1" t="str">
        <f ca="1" xml:space="preserve"> IF( D78 = "", "",
         IFERROR(VLOOKUP(D78, フィールドリスト[], COLUMN(フィールドリスト[Select用文字列]) - 1, FALSE), " , '' ")
       )</f>
        <v/>
      </c>
    </row>
    <row r="79" spans="4:7" hidden="1" outlineLevel="1" x14ac:dyDescent="0.35">
      <c r="D79" s="20" t="str">
        <f ca="1">OFFSET(データ!$B$2, 0, $F79 - 1) &amp; ""</f>
        <v/>
      </c>
      <c r="E79" s="20" t="str">
        <f ca="1">OFFSET(データ!$B$3, 0, $F79 - 1) &amp; ""</f>
        <v/>
      </c>
      <c r="F79" s="1">
        <f t="shared" si="2"/>
        <v>77</v>
      </c>
      <c r="G79" s="1" t="str">
        <f ca="1" xml:space="preserve"> IF( D79 = "", "",
         IFERROR(VLOOKUP(D79, フィールドリスト[], COLUMN(フィールドリスト[Select用文字列]) - 1, FALSE), " , '' ")
       )</f>
        <v/>
      </c>
    </row>
    <row r="80" spans="4:7" hidden="1" outlineLevel="1" x14ac:dyDescent="0.35">
      <c r="D80" s="20" t="str">
        <f ca="1">OFFSET(データ!$B$2, 0, $F80 - 1) &amp; ""</f>
        <v/>
      </c>
      <c r="E80" s="20" t="str">
        <f ca="1">OFFSET(データ!$B$3, 0, $F80 - 1) &amp; ""</f>
        <v/>
      </c>
      <c r="F80" s="1">
        <f t="shared" si="2"/>
        <v>78</v>
      </c>
      <c r="G80" s="1" t="str">
        <f ca="1" xml:space="preserve"> IF( D80 = "", "",
         IFERROR(VLOOKUP(D80, フィールドリスト[], COLUMN(フィールドリスト[Select用文字列]) - 1, FALSE), " , '' ")
       )</f>
        <v/>
      </c>
    </row>
    <row r="81" spans="4:7" hidden="1" outlineLevel="1" x14ac:dyDescent="0.35">
      <c r="D81" s="20" t="str">
        <f ca="1">OFFSET(データ!$B$2, 0, $F81 - 1) &amp; ""</f>
        <v/>
      </c>
      <c r="E81" s="20" t="str">
        <f ca="1">OFFSET(データ!$B$3, 0, $F81 - 1) &amp; ""</f>
        <v/>
      </c>
      <c r="F81" s="1">
        <f t="shared" si="2"/>
        <v>79</v>
      </c>
      <c r="G81" s="1" t="str">
        <f ca="1" xml:space="preserve"> IF( D81 = "", "",
         IFERROR(VLOOKUP(D81, フィールドリスト[], COLUMN(フィールドリスト[Select用文字列]) - 1, FALSE), " , '' ")
       )</f>
        <v/>
      </c>
    </row>
    <row r="82" spans="4:7" hidden="1" outlineLevel="1" x14ac:dyDescent="0.35">
      <c r="D82" s="20" t="str">
        <f ca="1">OFFSET(データ!$B$2, 0, $F82 - 1) &amp; ""</f>
        <v/>
      </c>
      <c r="E82" s="20" t="str">
        <f ca="1">OFFSET(データ!$B$3, 0, $F82 - 1) &amp; ""</f>
        <v/>
      </c>
      <c r="F82" s="1">
        <f t="shared" si="2"/>
        <v>80</v>
      </c>
      <c r="G82" s="1" t="str">
        <f ca="1" xml:space="preserve"> IF( D82 = "", "",
         IFERROR(VLOOKUP(D82, フィールドリスト[], COLUMN(フィールドリスト[Select用文字列]) - 1, FALSE), " , '' ")
       )</f>
        <v/>
      </c>
    </row>
    <row r="83" spans="4:7" hidden="1" outlineLevel="1" x14ac:dyDescent="0.35">
      <c r="D83" s="20" t="str">
        <f ca="1">OFFSET(データ!$B$2, 0, $F83 - 1) &amp; ""</f>
        <v/>
      </c>
      <c r="E83" s="20" t="str">
        <f ca="1">OFFSET(データ!$B$3, 0, $F83 - 1) &amp; ""</f>
        <v/>
      </c>
      <c r="F83" s="1">
        <f t="shared" si="2"/>
        <v>81</v>
      </c>
      <c r="G83" s="1" t="str">
        <f ca="1" xml:space="preserve"> IF( D83 = "", "",
         IFERROR(VLOOKUP(D83, フィールドリスト[], COLUMN(フィールドリスト[Select用文字列]) - 1, FALSE), " , '' ")
       )</f>
        <v/>
      </c>
    </row>
    <row r="84" spans="4:7" hidden="1" outlineLevel="1" x14ac:dyDescent="0.35">
      <c r="D84" s="20" t="str">
        <f ca="1">OFFSET(データ!$B$2, 0, $F84 - 1) &amp; ""</f>
        <v/>
      </c>
      <c r="E84" s="20" t="str">
        <f ca="1">OFFSET(データ!$B$3, 0, $F84 - 1) &amp; ""</f>
        <v/>
      </c>
      <c r="F84" s="1">
        <f t="shared" si="2"/>
        <v>82</v>
      </c>
      <c r="G84" s="1" t="str">
        <f ca="1" xml:space="preserve"> IF( D84 = "", "",
         IFERROR(VLOOKUP(D84, フィールドリスト[], COLUMN(フィールドリスト[Select用文字列]) - 1, FALSE), " , '' ")
       )</f>
        <v/>
      </c>
    </row>
    <row r="85" spans="4:7" hidden="1" outlineLevel="1" x14ac:dyDescent="0.35">
      <c r="D85" s="20" t="str">
        <f ca="1">OFFSET(データ!$B$2, 0, $F85 - 1) &amp; ""</f>
        <v/>
      </c>
      <c r="E85" s="20" t="str">
        <f ca="1">OFFSET(データ!$B$3, 0, $F85 - 1) &amp; ""</f>
        <v/>
      </c>
      <c r="F85" s="1">
        <f t="shared" si="2"/>
        <v>83</v>
      </c>
      <c r="G85" s="1" t="str">
        <f ca="1" xml:space="preserve"> IF( D85 = "", "",
         IFERROR(VLOOKUP(D85, フィールドリスト[], COLUMN(フィールドリスト[Select用文字列]) - 1, FALSE), " , '' ")
       )</f>
        <v/>
      </c>
    </row>
    <row r="86" spans="4:7" hidden="1" outlineLevel="1" x14ac:dyDescent="0.35">
      <c r="D86" s="20" t="str">
        <f ca="1">OFFSET(データ!$B$2, 0, $F86 - 1) &amp; ""</f>
        <v/>
      </c>
      <c r="E86" s="20" t="str">
        <f ca="1">OFFSET(データ!$B$3, 0, $F86 - 1) &amp; ""</f>
        <v/>
      </c>
      <c r="F86" s="1">
        <f t="shared" si="2"/>
        <v>84</v>
      </c>
      <c r="G86" s="1" t="str">
        <f ca="1" xml:space="preserve"> IF( D86 = "", "",
         IFERROR(VLOOKUP(D86, フィールドリスト[], COLUMN(フィールドリスト[Select用文字列]) - 1, FALSE), " , '' ")
       )</f>
        <v/>
      </c>
    </row>
    <row r="87" spans="4:7" hidden="1" outlineLevel="1" x14ac:dyDescent="0.35">
      <c r="D87" s="20" t="str">
        <f ca="1">OFFSET(データ!$B$2, 0, $F87 - 1) &amp; ""</f>
        <v/>
      </c>
      <c r="E87" s="20" t="str">
        <f ca="1">OFFSET(データ!$B$3, 0, $F87 - 1) &amp; ""</f>
        <v/>
      </c>
      <c r="F87" s="1">
        <f t="shared" si="2"/>
        <v>85</v>
      </c>
      <c r="G87" s="1" t="str">
        <f ca="1" xml:space="preserve"> IF( D87 = "", "",
         IFERROR(VLOOKUP(D87, フィールドリスト[], COLUMN(フィールドリスト[Select用文字列]) - 1, FALSE), " , '' ")
       )</f>
        <v/>
      </c>
    </row>
    <row r="88" spans="4:7" hidden="1" outlineLevel="1" x14ac:dyDescent="0.35">
      <c r="D88" s="20" t="str">
        <f ca="1">OFFSET(データ!$B$2, 0, $F88 - 1) &amp; ""</f>
        <v/>
      </c>
      <c r="E88" s="20" t="str">
        <f ca="1">OFFSET(データ!$B$3, 0, $F88 - 1) &amp; ""</f>
        <v/>
      </c>
      <c r="F88" s="1">
        <f t="shared" si="2"/>
        <v>86</v>
      </c>
      <c r="G88" s="1" t="str">
        <f ca="1" xml:space="preserve"> IF( D88 = "", "",
         IFERROR(VLOOKUP(D88, フィールドリスト[], COLUMN(フィールドリスト[Select用文字列]) - 1, FALSE), " , '' ")
       )</f>
        <v/>
      </c>
    </row>
    <row r="89" spans="4:7" hidden="1" outlineLevel="1" x14ac:dyDescent="0.35">
      <c r="D89" s="20" t="str">
        <f ca="1">OFFSET(データ!$B$2, 0, $F89 - 1) &amp; ""</f>
        <v/>
      </c>
      <c r="E89" s="20" t="str">
        <f ca="1">OFFSET(データ!$B$3, 0, $F89 - 1) &amp; ""</f>
        <v/>
      </c>
      <c r="F89" s="1">
        <f t="shared" si="2"/>
        <v>87</v>
      </c>
      <c r="G89" s="1" t="str">
        <f ca="1" xml:space="preserve"> IF( D89 = "", "",
         IFERROR(VLOOKUP(D89, フィールドリスト[], COLUMN(フィールドリスト[Select用文字列]) - 1, FALSE), " , '' ")
       )</f>
        <v/>
      </c>
    </row>
    <row r="90" spans="4:7" hidden="1" outlineLevel="1" x14ac:dyDescent="0.35">
      <c r="D90" s="20" t="str">
        <f ca="1">OFFSET(データ!$B$2, 0, $F90 - 1) &amp; ""</f>
        <v/>
      </c>
      <c r="E90" s="20" t="str">
        <f ca="1">OFFSET(データ!$B$3, 0, $F90 - 1) &amp; ""</f>
        <v/>
      </c>
      <c r="F90" s="1">
        <f t="shared" si="2"/>
        <v>88</v>
      </c>
      <c r="G90" s="1" t="str">
        <f ca="1" xml:space="preserve"> IF( D90 = "", "",
         IFERROR(VLOOKUP(D90, フィールドリスト[], COLUMN(フィールドリスト[Select用文字列]) - 1, FALSE), " , '' ")
       )</f>
        <v/>
      </c>
    </row>
    <row r="91" spans="4:7" hidden="1" outlineLevel="1" x14ac:dyDescent="0.35">
      <c r="D91" s="20" t="str">
        <f ca="1">OFFSET(データ!$B$2, 0, $F91 - 1) &amp; ""</f>
        <v/>
      </c>
      <c r="E91" s="20" t="str">
        <f ca="1">OFFSET(データ!$B$3, 0, $F91 - 1) &amp; ""</f>
        <v/>
      </c>
      <c r="F91" s="1">
        <f t="shared" si="2"/>
        <v>89</v>
      </c>
      <c r="G91" s="1" t="str">
        <f ca="1" xml:space="preserve"> IF( D91 = "", "",
         IFERROR(VLOOKUP(D91, フィールドリスト[], COLUMN(フィールドリスト[Select用文字列]) - 1, FALSE), " , '' ")
       )</f>
        <v/>
      </c>
    </row>
    <row r="92" spans="4:7" hidden="1" outlineLevel="1" x14ac:dyDescent="0.35">
      <c r="D92" s="20" t="str">
        <f ca="1">OFFSET(データ!$B$2, 0, $F92 - 1) &amp; ""</f>
        <v/>
      </c>
      <c r="E92" s="20" t="str">
        <f ca="1">OFFSET(データ!$B$3, 0, $F92 - 1) &amp; ""</f>
        <v/>
      </c>
      <c r="F92" s="1">
        <f t="shared" si="2"/>
        <v>90</v>
      </c>
      <c r="G92" s="1" t="str">
        <f ca="1" xml:space="preserve"> IF( D92 = "", "",
         IFERROR(VLOOKUP(D92, フィールドリスト[], COLUMN(フィールドリスト[Select用文字列]) - 1, FALSE), " , '' ")
       )</f>
        <v/>
      </c>
    </row>
    <row r="93" spans="4:7" hidden="1" outlineLevel="1" x14ac:dyDescent="0.35">
      <c r="D93" s="20" t="str">
        <f ca="1">OFFSET(データ!$B$2, 0, $F93 - 1) &amp; ""</f>
        <v/>
      </c>
      <c r="E93" s="20" t="str">
        <f ca="1">OFFSET(データ!$B$3, 0, $F93 - 1) &amp; ""</f>
        <v/>
      </c>
      <c r="F93" s="1">
        <f t="shared" si="2"/>
        <v>91</v>
      </c>
      <c r="G93" s="1" t="str">
        <f ca="1" xml:space="preserve"> IF( D93 = "", "",
         IFERROR(VLOOKUP(D93, フィールドリスト[], COLUMN(フィールドリスト[Select用文字列]) - 1, FALSE), " , '' ")
       )</f>
        <v/>
      </c>
    </row>
    <row r="94" spans="4:7" hidden="1" outlineLevel="1" x14ac:dyDescent="0.35">
      <c r="D94" s="20" t="str">
        <f ca="1">OFFSET(データ!$B$2, 0, $F94 - 1) &amp; ""</f>
        <v/>
      </c>
      <c r="E94" s="20" t="str">
        <f ca="1">OFFSET(データ!$B$3, 0, $F94 - 1) &amp; ""</f>
        <v/>
      </c>
      <c r="F94" s="1">
        <f t="shared" si="2"/>
        <v>92</v>
      </c>
      <c r="G94" s="1" t="str">
        <f ca="1" xml:space="preserve"> IF( D94 = "", "",
         IFERROR(VLOOKUP(D94, フィールドリスト[], COLUMN(フィールドリスト[Select用文字列]) - 1, FALSE), " , '' ")
       )</f>
        <v/>
      </c>
    </row>
    <row r="95" spans="4:7" hidden="1" outlineLevel="1" x14ac:dyDescent="0.35">
      <c r="D95" s="20" t="str">
        <f ca="1">OFFSET(データ!$B$2, 0, $F95 - 1) &amp; ""</f>
        <v/>
      </c>
      <c r="E95" s="20" t="str">
        <f ca="1">OFFSET(データ!$B$3, 0, $F95 - 1) &amp; ""</f>
        <v/>
      </c>
      <c r="F95" s="1">
        <f t="shared" si="2"/>
        <v>93</v>
      </c>
      <c r="G95" s="1" t="str">
        <f ca="1" xml:space="preserve"> IF( D95 = "", "",
         IFERROR(VLOOKUP(D95, フィールドリスト[], COLUMN(フィールドリスト[Select用文字列]) - 1, FALSE), " , '' ")
       )</f>
        <v/>
      </c>
    </row>
    <row r="96" spans="4:7" hidden="1" outlineLevel="1" x14ac:dyDescent="0.35">
      <c r="D96" s="20" t="str">
        <f ca="1">OFFSET(データ!$B$2, 0, $F96 - 1) &amp; ""</f>
        <v/>
      </c>
      <c r="E96" s="20" t="str">
        <f ca="1">OFFSET(データ!$B$3, 0, $F96 - 1) &amp; ""</f>
        <v/>
      </c>
      <c r="F96" s="1">
        <f t="shared" si="2"/>
        <v>94</v>
      </c>
      <c r="G96" s="1" t="str">
        <f ca="1" xml:space="preserve"> IF( D96 = "", "",
         IFERROR(VLOOKUP(D96, フィールドリスト[], COLUMN(フィールドリスト[Select用文字列]) - 1, FALSE), " , '' ")
       )</f>
        <v/>
      </c>
    </row>
    <row r="97" spans="4:7" hidden="1" outlineLevel="1" x14ac:dyDescent="0.35">
      <c r="D97" s="20" t="str">
        <f ca="1">OFFSET(データ!$B$2, 0, $F97 - 1) &amp; ""</f>
        <v/>
      </c>
      <c r="E97" s="20" t="str">
        <f ca="1">OFFSET(データ!$B$3, 0, $F97 - 1) &amp; ""</f>
        <v/>
      </c>
      <c r="F97" s="1">
        <f t="shared" si="2"/>
        <v>95</v>
      </c>
      <c r="G97" s="1" t="str">
        <f ca="1" xml:space="preserve"> IF( D97 = "", "",
         IFERROR(VLOOKUP(D97, フィールドリスト[], COLUMN(フィールドリスト[Select用文字列]) - 1, FALSE), " , '' ")
       )</f>
        <v/>
      </c>
    </row>
    <row r="98" spans="4:7" hidden="1" outlineLevel="1" x14ac:dyDescent="0.35">
      <c r="D98" s="20" t="str">
        <f ca="1">OFFSET(データ!$B$2, 0, $F98 - 1) &amp; ""</f>
        <v/>
      </c>
      <c r="E98" s="20" t="str">
        <f ca="1">OFFSET(データ!$B$3, 0, $F98 - 1) &amp; ""</f>
        <v/>
      </c>
      <c r="F98" s="1">
        <f t="shared" si="2"/>
        <v>96</v>
      </c>
      <c r="G98" s="1" t="str">
        <f ca="1" xml:space="preserve"> IF( D98 = "", "",
         IFERROR(VLOOKUP(D98, フィールドリスト[], COLUMN(フィールドリスト[Select用文字列]) - 1, FALSE), " , '' ")
       )</f>
        <v/>
      </c>
    </row>
    <row r="99" spans="4:7" hidden="1" outlineLevel="1" x14ac:dyDescent="0.35">
      <c r="D99" s="20" t="str">
        <f ca="1">OFFSET(データ!$B$2, 0, $F99 - 1) &amp; ""</f>
        <v/>
      </c>
      <c r="E99" s="20" t="str">
        <f ca="1">OFFSET(データ!$B$3, 0, $F99 - 1) &amp; ""</f>
        <v/>
      </c>
      <c r="F99" s="1">
        <f t="shared" si="2"/>
        <v>97</v>
      </c>
      <c r="G99" s="1" t="str">
        <f ca="1" xml:space="preserve"> IF( D99 = "", "",
         IFERROR(VLOOKUP(D99, フィールドリスト[], COLUMN(フィールドリスト[Select用文字列]) - 1, FALSE), " , '' ")
       )</f>
        <v/>
      </c>
    </row>
    <row r="100" spans="4:7" hidden="1" outlineLevel="1" x14ac:dyDescent="0.35">
      <c r="D100" s="20" t="str">
        <f ca="1">OFFSET(データ!$B$2, 0, $F100 - 1) &amp; ""</f>
        <v/>
      </c>
      <c r="E100" s="20" t="str">
        <f ca="1">OFFSET(データ!$B$3, 0, $F100 - 1) &amp; ""</f>
        <v/>
      </c>
      <c r="F100" s="1">
        <f t="shared" si="2"/>
        <v>98</v>
      </c>
      <c r="G100" s="1" t="str">
        <f ca="1" xml:space="preserve"> IF( D100 = "", "",
         IFERROR(VLOOKUP(D100, フィールドリスト[], COLUMN(フィールドリスト[Select用文字列]) - 1, FALSE), " , '' ")
       )</f>
        <v/>
      </c>
    </row>
    <row r="101" spans="4:7" hidden="1" outlineLevel="1" x14ac:dyDescent="0.35">
      <c r="D101" s="20" t="str">
        <f ca="1">OFFSET(データ!$B$2, 0, $F101 - 1) &amp; ""</f>
        <v/>
      </c>
      <c r="E101" s="20" t="str">
        <f ca="1">OFFSET(データ!$B$3, 0, $F101 - 1) &amp; ""</f>
        <v/>
      </c>
      <c r="F101" s="1">
        <f t="shared" si="2"/>
        <v>99</v>
      </c>
      <c r="G101" s="1" t="str">
        <f ca="1" xml:space="preserve"> IF( D101 = "", "",
         IFERROR(VLOOKUP(D101, フィールドリスト[], COLUMN(フィールドリスト[Select用文字列]) - 1, FALSE), " , '' ")
       )</f>
        <v/>
      </c>
    </row>
    <row r="102" spans="4:7" hidden="1" outlineLevel="1" x14ac:dyDescent="0.35">
      <c r="D102" s="20" t="str">
        <f ca="1">OFFSET(データ!$B$2, 0, $F102 - 1) &amp; ""</f>
        <v/>
      </c>
      <c r="E102" s="20" t="str">
        <f ca="1">OFFSET(データ!$B$3, 0, $F102 - 1) &amp; ""</f>
        <v/>
      </c>
      <c r="F102" s="1">
        <f t="shared" si="2"/>
        <v>100</v>
      </c>
      <c r="G102" s="1" t="str">
        <f ca="1" xml:space="preserve"> IF( D102 = "", "",
         IFERROR(VLOOKUP(D102, フィールドリスト[], COLUMN(フィールドリスト[Select用文字列]) - 1, FALSE), " , '' ")
       )</f>
        <v/>
      </c>
    </row>
    <row r="103" spans="4:7" hidden="1" outlineLevel="1" x14ac:dyDescent="0.35">
      <c r="D103" s="20" t="str">
        <f ca="1">OFFSET(データ!$B$2, 0, $F103 - 1) &amp; ""</f>
        <v/>
      </c>
      <c r="E103" s="20" t="str">
        <f ca="1">OFFSET(データ!$B$3, 0, $F103 - 1) &amp; ""</f>
        <v/>
      </c>
      <c r="F103" s="1">
        <f t="shared" si="2"/>
        <v>101</v>
      </c>
      <c r="G103" s="1" t="str">
        <f ca="1" xml:space="preserve"> IF( D103 = "", "",
         IFERROR(VLOOKUP(D103, フィールドリスト[], COLUMN(フィールドリスト[Select用文字列]) - 1, FALSE), " , '' ")
       )</f>
        <v/>
      </c>
    </row>
    <row r="104" spans="4:7" hidden="1" outlineLevel="1" x14ac:dyDescent="0.35">
      <c r="D104" s="20" t="str">
        <f ca="1">OFFSET(データ!$B$2, 0, $F104 - 1) &amp; ""</f>
        <v/>
      </c>
      <c r="E104" s="20" t="str">
        <f ca="1">OFFSET(データ!$B$3, 0, $F104 - 1) &amp; ""</f>
        <v/>
      </c>
      <c r="F104" s="1">
        <f t="shared" si="2"/>
        <v>102</v>
      </c>
      <c r="G104" s="1" t="str">
        <f ca="1" xml:space="preserve"> IF( D104 = "", "",
         IFERROR(VLOOKUP(D104, フィールドリスト[], COLUMN(フィールドリスト[Select用文字列]) - 1, FALSE), " , '' ")
       )</f>
        <v/>
      </c>
    </row>
    <row r="105" spans="4:7" hidden="1" outlineLevel="1" x14ac:dyDescent="0.35">
      <c r="D105" s="20" t="str">
        <f ca="1">OFFSET(データ!$B$2, 0, $F105 - 1) &amp; ""</f>
        <v/>
      </c>
      <c r="E105" s="20" t="str">
        <f ca="1">OFFSET(データ!$B$3, 0, $F105 - 1) &amp; ""</f>
        <v/>
      </c>
      <c r="F105" s="1">
        <f t="shared" si="2"/>
        <v>103</v>
      </c>
      <c r="G105" s="1" t="str">
        <f ca="1" xml:space="preserve"> IF( D105 = "", "",
         IFERROR(VLOOKUP(D105, フィールドリスト[], COLUMN(フィールドリスト[Select用文字列]) - 1, FALSE), " , '' ")
       )</f>
        <v/>
      </c>
    </row>
    <row r="106" spans="4:7" hidden="1" outlineLevel="1" x14ac:dyDescent="0.35">
      <c r="D106" s="20" t="str">
        <f ca="1">OFFSET(データ!$B$2, 0, $F106 - 1) &amp; ""</f>
        <v/>
      </c>
      <c r="E106" s="20" t="str">
        <f ca="1">OFFSET(データ!$B$3, 0, $F106 - 1) &amp; ""</f>
        <v/>
      </c>
      <c r="F106" s="1">
        <f t="shared" si="2"/>
        <v>104</v>
      </c>
      <c r="G106" s="1" t="str">
        <f ca="1" xml:space="preserve"> IF( D106 = "", "",
         IFERROR(VLOOKUP(D106, フィールドリスト[], COLUMN(フィールドリスト[Select用文字列]) - 1, FALSE), " , '' ")
       )</f>
        <v/>
      </c>
    </row>
    <row r="107" spans="4:7" hidden="1" outlineLevel="1" x14ac:dyDescent="0.35">
      <c r="D107" s="20" t="str">
        <f ca="1">OFFSET(データ!$B$2, 0, $F107 - 1) &amp; ""</f>
        <v/>
      </c>
      <c r="E107" s="20" t="str">
        <f ca="1">OFFSET(データ!$B$3, 0, $F107 - 1) &amp; ""</f>
        <v/>
      </c>
      <c r="F107" s="1">
        <f t="shared" si="2"/>
        <v>105</v>
      </c>
      <c r="G107" s="1" t="str">
        <f ca="1" xml:space="preserve"> IF( D107 = "", "",
         IFERROR(VLOOKUP(D107, フィールドリスト[], COLUMN(フィールドリスト[Select用文字列]) - 1, FALSE), " , '' ")
       )</f>
        <v/>
      </c>
    </row>
    <row r="108" spans="4:7" hidden="1" outlineLevel="1" x14ac:dyDescent="0.35">
      <c r="D108" s="20" t="str">
        <f ca="1">OFFSET(データ!$B$2, 0, $F108 - 1) &amp; ""</f>
        <v/>
      </c>
      <c r="E108" s="20" t="str">
        <f ca="1">OFFSET(データ!$B$3, 0, $F108 - 1) &amp; ""</f>
        <v/>
      </c>
      <c r="F108" s="1">
        <f t="shared" si="2"/>
        <v>106</v>
      </c>
      <c r="G108" s="1" t="str">
        <f ca="1" xml:space="preserve"> IF( D108 = "", "",
         IFERROR(VLOOKUP(D108, フィールドリスト[], COLUMN(フィールドリスト[Select用文字列]) - 1, FALSE), " , '' ")
       )</f>
        <v/>
      </c>
    </row>
    <row r="109" spans="4:7" hidden="1" outlineLevel="1" x14ac:dyDescent="0.35">
      <c r="D109" s="20" t="str">
        <f ca="1">OFFSET(データ!$B$2, 0, $F109 - 1) &amp; ""</f>
        <v/>
      </c>
      <c r="E109" s="20" t="str">
        <f ca="1">OFFSET(データ!$B$3, 0, $F109 - 1) &amp; ""</f>
        <v/>
      </c>
      <c r="F109" s="1">
        <f t="shared" si="2"/>
        <v>107</v>
      </c>
      <c r="G109" s="1" t="str">
        <f ca="1" xml:space="preserve"> IF( D109 = "", "",
         IFERROR(VLOOKUP(D109, フィールドリスト[], COLUMN(フィールドリスト[Select用文字列]) - 1, FALSE), " , '' ")
       )</f>
        <v/>
      </c>
    </row>
    <row r="110" spans="4:7" hidden="1" outlineLevel="1" x14ac:dyDescent="0.35">
      <c r="D110" s="20" t="str">
        <f ca="1">OFFSET(データ!$B$2, 0, $F110 - 1) &amp; ""</f>
        <v/>
      </c>
      <c r="E110" s="20" t="str">
        <f ca="1">OFFSET(データ!$B$3, 0, $F110 - 1) &amp; ""</f>
        <v/>
      </c>
      <c r="F110" s="1">
        <f t="shared" si="2"/>
        <v>108</v>
      </c>
      <c r="G110" s="1" t="str">
        <f ca="1" xml:space="preserve"> IF( D110 = "", "",
         IFERROR(VLOOKUP(D110, フィールドリスト[], COLUMN(フィールドリスト[Select用文字列]) - 1, FALSE), " , '' ")
       )</f>
        <v/>
      </c>
    </row>
    <row r="111" spans="4:7" hidden="1" outlineLevel="1" x14ac:dyDescent="0.35">
      <c r="D111" s="20" t="str">
        <f ca="1">OFFSET(データ!$B$2, 0, $F111 - 1) &amp; ""</f>
        <v/>
      </c>
      <c r="E111" s="20" t="str">
        <f ca="1">OFFSET(データ!$B$3, 0, $F111 - 1) &amp; ""</f>
        <v/>
      </c>
      <c r="F111" s="1">
        <f t="shared" si="2"/>
        <v>109</v>
      </c>
      <c r="G111" s="1" t="str">
        <f ca="1" xml:space="preserve"> IF( D111 = "", "",
         IFERROR(VLOOKUP(D111, フィールドリスト[], COLUMN(フィールドリスト[Select用文字列]) - 1, FALSE), " , '' ")
       )</f>
        <v/>
      </c>
    </row>
    <row r="112" spans="4:7" hidden="1" outlineLevel="1" x14ac:dyDescent="0.35">
      <c r="D112" s="20" t="str">
        <f ca="1">OFFSET(データ!$B$2, 0, $F112 - 1) &amp; ""</f>
        <v/>
      </c>
      <c r="E112" s="20" t="str">
        <f ca="1">OFFSET(データ!$B$3, 0, $F112 - 1) &amp; ""</f>
        <v/>
      </c>
      <c r="F112" s="1">
        <f t="shared" si="2"/>
        <v>110</v>
      </c>
      <c r="G112" s="1" t="str">
        <f ca="1" xml:space="preserve"> IF( D112 = "", "",
         IFERROR(VLOOKUP(D112, フィールドリスト[], COLUMN(フィールドリスト[Select用文字列]) - 1, FALSE), " , '' ")
       )</f>
        <v/>
      </c>
    </row>
    <row r="113" spans="4:7" hidden="1" outlineLevel="1" x14ac:dyDescent="0.35">
      <c r="D113" s="20" t="str">
        <f ca="1">OFFSET(データ!$B$2, 0, $F113 - 1) &amp; ""</f>
        <v/>
      </c>
      <c r="E113" s="20" t="str">
        <f ca="1">OFFSET(データ!$B$3, 0, $F113 - 1) &amp; ""</f>
        <v/>
      </c>
      <c r="F113" s="1">
        <f t="shared" si="2"/>
        <v>111</v>
      </c>
      <c r="G113" s="1" t="str">
        <f ca="1" xml:space="preserve"> IF( D113 = "", "",
         IFERROR(VLOOKUP(D113, フィールドリスト[], COLUMN(フィールドリスト[Select用文字列]) - 1, FALSE), " , '' ")
       )</f>
        <v/>
      </c>
    </row>
    <row r="114" spans="4:7" hidden="1" outlineLevel="1" x14ac:dyDescent="0.35">
      <c r="D114" s="20" t="str">
        <f ca="1">OFFSET(データ!$B$2, 0, $F114 - 1) &amp; ""</f>
        <v/>
      </c>
      <c r="E114" s="20" t="str">
        <f ca="1">OFFSET(データ!$B$3, 0, $F114 - 1) &amp; ""</f>
        <v/>
      </c>
      <c r="F114" s="1">
        <f t="shared" si="2"/>
        <v>112</v>
      </c>
      <c r="G114" s="1" t="str">
        <f ca="1" xml:space="preserve"> IF( D114 = "", "",
         IFERROR(VLOOKUP(D114, フィールドリスト[], COLUMN(フィールドリスト[Select用文字列]) - 1, FALSE), " , '' ")
       )</f>
        <v/>
      </c>
    </row>
    <row r="115" spans="4:7" hidden="1" outlineLevel="1" x14ac:dyDescent="0.35">
      <c r="D115" s="20" t="str">
        <f ca="1">OFFSET(データ!$B$2, 0, $F115 - 1) &amp; ""</f>
        <v/>
      </c>
      <c r="E115" s="20" t="str">
        <f ca="1">OFFSET(データ!$B$3, 0, $F115 - 1) &amp; ""</f>
        <v/>
      </c>
      <c r="F115" s="1">
        <f t="shared" si="2"/>
        <v>113</v>
      </c>
      <c r="G115" s="1" t="str">
        <f ca="1" xml:space="preserve"> IF( D115 = "", "",
         IFERROR(VLOOKUP(D115, フィールドリスト[], COLUMN(フィールドリスト[Select用文字列]) - 1, FALSE), " , '' ")
       )</f>
        <v/>
      </c>
    </row>
    <row r="116" spans="4:7" hidden="1" outlineLevel="1" x14ac:dyDescent="0.35">
      <c r="D116" s="20" t="str">
        <f ca="1">OFFSET(データ!$B$2, 0, $F116 - 1) &amp; ""</f>
        <v/>
      </c>
      <c r="E116" s="20" t="str">
        <f ca="1">OFFSET(データ!$B$3, 0, $F116 - 1) &amp; ""</f>
        <v/>
      </c>
      <c r="F116" s="1">
        <f t="shared" si="2"/>
        <v>114</v>
      </c>
      <c r="G116" s="1" t="str">
        <f ca="1" xml:space="preserve"> IF( D116 = "", "",
         IFERROR(VLOOKUP(D116, フィールドリスト[], COLUMN(フィールドリスト[Select用文字列]) - 1, FALSE), " , '' ")
       )</f>
        <v/>
      </c>
    </row>
    <row r="117" spans="4:7" hidden="1" outlineLevel="1" x14ac:dyDescent="0.35">
      <c r="D117" s="20" t="str">
        <f ca="1">OFFSET(データ!$B$2, 0, $F117 - 1) &amp; ""</f>
        <v/>
      </c>
      <c r="E117" s="20" t="str">
        <f ca="1">OFFSET(データ!$B$3, 0, $F117 - 1) &amp; ""</f>
        <v/>
      </c>
      <c r="F117" s="1">
        <f t="shared" si="2"/>
        <v>115</v>
      </c>
      <c r="G117" s="1" t="str">
        <f ca="1" xml:space="preserve"> IF( D117 = "", "",
         IFERROR(VLOOKUP(D117, フィールドリスト[], COLUMN(フィールドリスト[Select用文字列]) - 1, FALSE), " , '' ")
       )</f>
        <v/>
      </c>
    </row>
    <row r="118" spans="4:7" hidden="1" outlineLevel="1" x14ac:dyDescent="0.35">
      <c r="D118" s="20" t="str">
        <f ca="1">OFFSET(データ!$B$2, 0, $F118 - 1) &amp; ""</f>
        <v/>
      </c>
      <c r="E118" s="20" t="str">
        <f ca="1">OFFSET(データ!$B$3, 0, $F118 - 1) &amp; ""</f>
        <v/>
      </c>
      <c r="F118" s="1">
        <f t="shared" si="2"/>
        <v>116</v>
      </c>
      <c r="G118" s="1" t="str">
        <f ca="1" xml:space="preserve"> IF( D118 = "", "",
         IFERROR(VLOOKUP(D118, フィールドリスト[], COLUMN(フィールドリスト[Select用文字列]) - 1, FALSE), " , '' ")
       )</f>
        <v/>
      </c>
    </row>
    <row r="119" spans="4:7" hidden="1" outlineLevel="1" x14ac:dyDescent="0.35">
      <c r="D119" s="20" t="str">
        <f ca="1">OFFSET(データ!$B$2, 0, $F119 - 1) &amp; ""</f>
        <v/>
      </c>
      <c r="E119" s="20" t="str">
        <f ca="1">OFFSET(データ!$B$3, 0, $F119 - 1) &amp; ""</f>
        <v/>
      </c>
      <c r="F119" s="1">
        <f t="shared" si="2"/>
        <v>117</v>
      </c>
      <c r="G119" s="1" t="str">
        <f ca="1" xml:space="preserve"> IF( D119 = "", "",
         IFERROR(VLOOKUP(D119, フィールドリスト[], COLUMN(フィールドリスト[Select用文字列]) - 1, FALSE), " , '' ")
       )</f>
        <v/>
      </c>
    </row>
    <row r="120" spans="4:7" hidden="1" outlineLevel="1" x14ac:dyDescent="0.35">
      <c r="D120" s="20" t="str">
        <f ca="1">OFFSET(データ!$B$2, 0, $F120 - 1) &amp; ""</f>
        <v/>
      </c>
      <c r="E120" s="20" t="str">
        <f ca="1">OFFSET(データ!$B$3, 0, $F120 - 1) &amp; ""</f>
        <v/>
      </c>
      <c r="F120" s="1">
        <f t="shared" si="2"/>
        <v>118</v>
      </c>
      <c r="G120" s="1" t="str">
        <f ca="1" xml:space="preserve"> IF( D120 = "", "",
         IFERROR(VLOOKUP(D120, フィールドリスト[], COLUMN(フィールドリスト[Select用文字列]) - 1, FALSE), " , '' ")
       )</f>
        <v/>
      </c>
    </row>
    <row r="121" spans="4:7" hidden="1" outlineLevel="1" x14ac:dyDescent="0.35">
      <c r="D121" s="20" t="str">
        <f ca="1">OFFSET(データ!$B$2, 0, $F121 - 1) &amp; ""</f>
        <v/>
      </c>
      <c r="E121" s="20" t="str">
        <f ca="1">OFFSET(データ!$B$3, 0, $F121 - 1) &amp; ""</f>
        <v/>
      </c>
      <c r="F121" s="1">
        <f t="shared" si="2"/>
        <v>119</v>
      </c>
      <c r="G121" s="1" t="str">
        <f ca="1" xml:space="preserve"> IF( D121 = "", "",
         IFERROR(VLOOKUP(D121, フィールドリスト[], COLUMN(フィールドリスト[Select用文字列]) - 1, FALSE), " , '' ")
       )</f>
        <v/>
      </c>
    </row>
    <row r="122" spans="4:7" hidden="1" outlineLevel="1" x14ac:dyDescent="0.35">
      <c r="D122" s="20" t="str">
        <f ca="1">OFFSET(データ!$B$2, 0, $F122 - 1) &amp; ""</f>
        <v/>
      </c>
      <c r="E122" s="20" t="str">
        <f ca="1">OFFSET(データ!$B$3, 0, $F122 - 1) &amp; ""</f>
        <v/>
      </c>
      <c r="F122" s="1">
        <f t="shared" si="2"/>
        <v>120</v>
      </c>
      <c r="G122" s="1" t="str">
        <f ca="1" xml:space="preserve"> IF( D122 = "", "",
         IFERROR(VLOOKUP(D122, フィールドリスト[], COLUMN(フィールドリスト[Select用文字列]) - 1, FALSE), " , '' ")
       )</f>
        <v/>
      </c>
    </row>
    <row r="123" spans="4:7" hidden="1" outlineLevel="1" x14ac:dyDescent="0.35">
      <c r="D123" s="20" t="str">
        <f ca="1">OFFSET(データ!$B$2, 0, $F123 - 1) &amp; ""</f>
        <v/>
      </c>
      <c r="E123" s="20" t="str">
        <f ca="1">OFFSET(データ!$B$3, 0, $F123 - 1) &amp; ""</f>
        <v/>
      </c>
      <c r="F123" s="1">
        <f t="shared" si="2"/>
        <v>121</v>
      </c>
      <c r="G123" s="1" t="str">
        <f ca="1" xml:space="preserve"> IF( D123 = "", "",
         IFERROR(VLOOKUP(D123, フィールドリスト[], COLUMN(フィールドリスト[Select用文字列]) - 1, FALSE), " , '' ")
       )</f>
        <v/>
      </c>
    </row>
    <row r="124" spans="4:7" hidden="1" outlineLevel="1" x14ac:dyDescent="0.35">
      <c r="D124" s="20" t="str">
        <f ca="1">OFFSET(データ!$B$2, 0, $F124 - 1) &amp; ""</f>
        <v/>
      </c>
      <c r="E124" s="20" t="str">
        <f ca="1">OFFSET(データ!$B$3, 0, $F124 - 1) &amp; ""</f>
        <v/>
      </c>
      <c r="F124" s="1">
        <f t="shared" si="2"/>
        <v>122</v>
      </c>
      <c r="G124" s="1" t="str">
        <f ca="1" xml:space="preserve"> IF( D124 = "", "",
         IFERROR(VLOOKUP(D124, フィールドリスト[], COLUMN(フィールドリスト[Select用文字列]) - 1, FALSE), " , '' ")
       )</f>
        <v/>
      </c>
    </row>
    <row r="125" spans="4:7" hidden="1" outlineLevel="1" x14ac:dyDescent="0.35">
      <c r="D125" s="20" t="str">
        <f ca="1">OFFSET(データ!$B$2, 0, $F125 - 1) &amp; ""</f>
        <v/>
      </c>
      <c r="E125" s="20" t="str">
        <f ca="1">OFFSET(データ!$B$3, 0, $F125 - 1) &amp; ""</f>
        <v/>
      </c>
      <c r="F125" s="1">
        <f t="shared" si="2"/>
        <v>123</v>
      </c>
      <c r="G125" s="1" t="str">
        <f ca="1" xml:space="preserve"> IF( D125 = "", "",
         IFERROR(VLOOKUP(D125, フィールドリスト[], COLUMN(フィールドリスト[Select用文字列]) - 1, FALSE), " , '' ")
       )</f>
        <v/>
      </c>
    </row>
    <row r="126" spans="4:7" hidden="1" outlineLevel="1" x14ac:dyDescent="0.35">
      <c r="D126" s="20" t="str">
        <f ca="1">OFFSET(データ!$B$2, 0, $F126 - 1) &amp; ""</f>
        <v/>
      </c>
      <c r="E126" s="20" t="str">
        <f ca="1">OFFSET(データ!$B$3, 0, $F126 - 1) &amp; ""</f>
        <v/>
      </c>
      <c r="F126" s="1">
        <f t="shared" si="2"/>
        <v>124</v>
      </c>
      <c r="G126" s="1" t="str">
        <f ca="1" xml:space="preserve"> IF( D126 = "", "",
         IFERROR(VLOOKUP(D126, フィールドリスト[], COLUMN(フィールドリスト[Select用文字列]) - 1, FALSE), " , '' ")
       )</f>
        <v/>
      </c>
    </row>
    <row r="127" spans="4:7" hidden="1" outlineLevel="1" x14ac:dyDescent="0.35">
      <c r="D127" s="20" t="str">
        <f ca="1">OFFSET(データ!$B$2, 0, $F127 - 1) &amp; ""</f>
        <v/>
      </c>
      <c r="E127" s="20" t="str">
        <f ca="1">OFFSET(データ!$B$3, 0, $F127 - 1) &amp; ""</f>
        <v/>
      </c>
      <c r="F127" s="1">
        <f t="shared" si="2"/>
        <v>125</v>
      </c>
      <c r="G127" s="1" t="str">
        <f ca="1" xml:space="preserve"> IF( D127 = "", "",
         IFERROR(VLOOKUP(D127, フィールドリスト[], COLUMN(フィールドリスト[Select用文字列]) - 1, FALSE), " , '' ")
       )</f>
        <v/>
      </c>
    </row>
    <row r="128" spans="4:7" hidden="1" outlineLevel="1" x14ac:dyDescent="0.35">
      <c r="D128" s="20" t="str">
        <f ca="1">OFFSET(データ!$B$2, 0, $F128 - 1) &amp; ""</f>
        <v/>
      </c>
      <c r="E128" s="20" t="str">
        <f ca="1">OFFSET(データ!$B$3, 0, $F128 - 1) &amp; ""</f>
        <v/>
      </c>
      <c r="F128" s="1">
        <f t="shared" si="2"/>
        <v>126</v>
      </c>
      <c r="G128" s="1" t="str">
        <f ca="1" xml:space="preserve"> IF( D128 = "", "",
         IFERROR(VLOOKUP(D128, フィールドリスト[], COLUMN(フィールドリスト[Select用文字列]) - 1, FALSE), " , '' ")
       )</f>
        <v/>
      </c>
    </row>
    <row r="129" spans="4:7" hidden="1" outlineLevel="1" x14ac:dyDescent="0.35">
      <c r="D129" s="20" t="str">
        <f ca="1">OFFSET(データ!$B$2, 0, $F129 - 1) &amp; ""</f>
        <v/>
      </c>
      <c r="E129" s="20" t="str">
        <f ca="1">OFFSET(データ!$B$3, 0, $F129 - 1) &amp; ""</f>
        <v/>
      </c>
      <c r="F129" s="1">
        <f t="shared" si="2"/>
        <v>127</v>
      </c>
      <c r="G129" s="1" t="str">
        <f ca="1" xml:space="preserve"> IF( D129 = "", "",
         IFERROR(VLOOKUP(D129, フィールドリスト[], COLUMN(フィールドリスト[Select用文字列]) - 1, FALSE), " , '' ")
       )</f>
        <v/>
      </c>
    </row>
    <row r="130" spans="4:7" hidden="1" outlineLevel="1" x14ac:dyDescent="0.35">
      <c r="D130" s="20" t="str">
        <f ca="1">OFFSET(データ!$B$2, 0, $F130 - 1) &amp; ""</f>
        <v/>
      </c>
      <c r="E130" s="20" t="str">
        <f ca="1">OFFSET(データ!$B$3, 0, $F130 - 1) &amp; ""</f>
        <v/>
      </c>
      <c r="F130" s="1">
        <f t="shared" si="2"/>
        <v>128</v>
      </c>
      <c r="G130" s="1" t="str">
        <f ca="1" xml:space="preserve"> IF( D130 = "", "",
         IFERROR(VLOOKUP(D130, フィールドリスト[], COLUMN(フィールドリスト[Select用文字列]) - 1, FALSE), " , '' ")
       )</f>
        <v/>
      </c>
    </row>
    <row r="131" spans="4:7" hidden="1" outlineLevel="1" x14ac:dyDescent="0.35">
      <c r="D131" s="20" t="str">
        <f ca="1">OFFSET(データ!$B$2, 0, $F131 - 1) &amp; ""</f>
        <v/>
      </c>
      <c r="E131" s="20" t="str">
        <f ca="1">OFFSET(データ!$B$3, 0, $F131 - 1) &amp; ""</f>
        <v/>
      </c>
      <c r="F131" s="1">
        <f t="shared" si="2"/>
        <v>129</v>
      </c>
      <c r="G131" s="1" t="str">
        <f ca="1" xml:space="preserve"> IF( D131 = "", "",
         IFERROR(VLOOKUP(D131, フィールドリスト[], COLUMN(フィールドリスト[Select用文字列]) - 1, FALSE), " , '' ")
       )</f>
        <v/>
      </c>
    </row>
    <row r="132" spans="4:7" hidden="1" outlineLevel="1" x14ac:dyDescent="0.35">
      <c r="D132" s="20" t="str">
        <f ca="1">OFFSET(データ!$B$2, 0, $F132 - 1) &amp; ""</f>
        <v/>
      </c>
      <c r="E132" s="20" t="str">
        <f ca="1">OFFSET(データ!$B$3, 0, $F132 - 1) &amp; ""</f>
        <v/>
      </c>
      <c r="F132" s="1">
        <f t="shared" ref="F132:F195" si="3">ROW() - ROW($F$2)</f>
        <v>130</v>
      </c>
      <c r="G132" s="1" t="str">
        <f ca="1" xml:space="preserve"> IF( D132 = "", "",
         IFERROR(VLOOKUP(D132, フィールドリスト[], COLUMN(フィールドリスト[Select用文字列]) - 1, FALSE), " , '' ")
       )</f>
        <v/>
      </c>
    </row>
    <row r="133" spans="4:7" hidden="1" outlineLevel="1" x14ac:dyDescent="0.35">
      <c r="D133" s="20" t="str">
        <f ca="1">OFFSET(データ!$B$2, 0, $F133 - 1) &amp; ""</f>
        <v/>
      </c>
      <c r="E133" s="20" t="str">
        <f ca="1">OFFSET(データ!$B$3, 0, $F133 - 1) &amp; ""</f>
        <v/>
      </c>
      <c r="F133" s="1">
        <f t="shared" si="3"/>
        <v>131</v>
      </c>
      <c r="G133" s="1" t="str">
        <f ca="1" xml:space="preserve"> IF( D133 = "", "",
         IFERROR(VLOOKUP(D133, フィールドリスト[], COLUMN(フィールドリスト[Select用文字列]) - 1, FALSE), " , '' ")
       )</f>
        <v/>
      </c>
    </row>
    <row r="134" spans="4:7" hidden="1" outlineLevel="1" x14ac:dyDescent="0.35">
      <c r="D134" s="20" t="str">
        <f ca="1">OFFSET(データ!$B$2, 0, $F134 - 1) &amp; ""</f>
        <v/>
      </c>
      <c r="E134" s="20" t="str">
        <f ca="1">OFFSET(データ!$B$3, 0, $F134 - 1) &amp; ""</f>
        <v/>
      </c>
      <c r="F134" s="1">
        <f t="shared" si="3"/>
        <v>132</v>
      </c>
      <c r="G134" s="1" t="str">
        <f ca="1" xml:space="preserve"> IF( D134 = "", "",
         IFERROR(VLOOKUP(D134, フィールドリスト[], COLUMN(フィールドリスト[Select用文字列]) - 1, FALSE), " , '' ")
       )</f>
        <v/>
      </c>
    </row>
    <row r="135" spans="4:7" hidden="1" outlineLevel="1" x14ac:dyDescent="0.35">
      <c r="D135" s="20" t="str">
        <f ca="1">OFFSET(データ!$B$2, 0, $F135 - 1) &amp; ""</f>
        <v/>
      </c>
      <c r="E135" s="20" t="str">
        <f ca="1">OFFSET(データ!$B$3, 0, $F135 - 1) &amp; ""</f>
        <v/>
      </c>
      <c r="F135" s="1">
        <f t="shared" si="3"/>
        <v>133</v>
      </c>
      <c r="G135" s="1" t="str">
        <f ca="1" xml:space="preserve"> IF( D135 = "", "",
         IFERROR(VLOOKUP(D135, フィールドリスト[], COLUMN(フィールドリスト[Select用文字列]) - 1, FALSE), " , '' ")
       )</f>
        <v/>
      </c>
    </row>
    <row r="136" spans="4:7" hidden="1" outlineLevel="1" x14ac:dyDescent="0.35">
      <c r="D136" s="20" t="str">
        <f ca="1">OFFSET(データ!$B$2, 0, $F136 - 1) &amp; ""</f>
        <v/>
      </c>
      <c r="E136" s="20" t="str">
        <f ca="1">OFFSET(データ!$B$3, 0, $F136 - 1) &amp; ""</f>
        <v/>
      </c>
      <c r="F136" s="1">
        <f t="shared" si="3"/>
        <v>134</v>
      </c>
      <c r="G136" s="1" t="str">
        <f ca="1" xml:space="preserve"> IF( D136 = "", "",
         IFERROR(VLOOKUP(D136, フィールドリスト[], COLUMN(フィールドリスト[Select用文字列]) - 1, FALSE), " , '' ")
       )</f>
        <v/>
      </c>
    </row>
    <row r="137" spans="4:7" hidden="1" outlineLevel="1" x14ac:dyDescent="0.35">
      <c r="D137" s="20" t="str">
        <f ca="1">OFFSET(データ!$B$2, 0, $F137 - 1) &amp; ""</f>
        <v/>
      </c>
      <c r="E137" s="20" t="str">
        <f ca="1">OFFSET(データ!$B$3, 0, $F137 - 1) &amp; ""</f>
        <v/>
      </c>
      <c r="F137" s="1">
        <f t="shared" si="3"/>
        <v>135</v>
      </c>
      <c r="G137" s="1" t="str">
        <f ca="1" xml:space="preserve"> IF( D137 = "", "",
         IFERROR(VLOOKUP(D137, フィールドリスト[], COLUMN(フィールドリスト[Select用文字列]) - 1, FALSE), " , '' ")
       )</f>
        <v/>
      </c>
    </row>
    <row r="138" spans="4:7" hidden="1" outlineLevel="1" x14ac:dyDescent="0.35">
      <c r="D138" s="20" t="str">
        <f ca="1">OFFSET(データ!$B$2, 0, $F138 - 1) &amp; ""</f>
        <v/>
      </c>
      <c r="E138" s="20" t="str">
        <f ca="1">OFFSET(データ!$B$3, 0, $F138 - 1) &amp; ""</f>
        <v/>
      </c>
      <c r="F138" s="1">
        <f t="shared" si="3"/>
        <v>136</v>
      </c>
      <c r="G138" s="1" t="str">
        <f ca="1" xml:space="preserve"> IF( D138 = "", "",
         IFERROR(VLOOKUP(D138, フィールドリスト[], COLUMN(フィールドリスト[Select用文字列]) - 1, FALSE), " , '' ")
       )</f>
        <v/>
      </c>
    </row>
    <row r="139" spans="4:7" hidden="1" outlineLevel="1" x14ac:dyDescent="0.35">
      <c r="D139" s="20" t="str">
        <f ca="1">OFFSET(データ!$B$2, 0, $F139 - 1) &amp; ""</f>
        <v/>
      </c>
      <c r="E139" s="20" t="str">
        <f ca="1">OFFSET(データ!$B$3, 0, $F139 - 1) &amp; ""</f>
        <v/>
      </c>
      <c r="F139" s="1">
        <f t="shared" si="3"/>
        <v>137</v>
      </c>
      <c r="G139" s="1" t="str">
        <f ca="1" xml:space="preserve"> IF( D139 = "", "",
         IFERROR(VLOOKUP(D139, フィールドリスト[], COLUMN(フィールドリスト[Select用文字列]) - 1, FALSE), " , '' ")
       )</f>
        <v/>
      </c>
    </row>
    <row r="140" spans="4:7" hidden="1" outlineLevel="1" x14ac:dyDescent="0.35">
      <c r="D140" s="20" t="str">
        <f ca="1">OFFSET(データ!$B$2, 0, $F140 - 1) &amp; ""</f>
        <v/>
      </c>
      <c r="E140" s="20" t="str">
        <f ca="1">OFFSET(データ!$B$3, 0, $F140 - 1) &amp; ""</f>
        <v/>
      </c>
      <c r="F140" s="1">
        <f t="shared" si="3"/>
        <v>138</v>
      </c>
      <c r="G140" s="1" t="str">
        <f ca="1" xml:space="preserve"> IF( D140 = "", "",
         IFERROR(VLOOKUP(D140, フィールドリスト[], COLUMN(フィールドリスト[Select用文字列]) - 1, FALSE), " , '' ")
       )</f>
        <v/>
      </c>
    </row>
    <row r="141" spans="4:7" hidden="1" outlineLevel="1" x14ac:dyDescent="0.35">
      <c r="D141" s="20" t="str">
        <f ca="1">OFFSET(データ!$B$2, 0, $F141 - 1) &amp; ""</f>
        <v/>
      </c>
      <c r="E141" s="20" t="str">
        <f ca="1">OFFSET(データ!$B$3, 0, $F141 - 1) &amp; ""</f>
        <v/>
      </c>
      <c r="F141" s="1">
        <f t="shared" si="3"/>
        <v>139</v>
      </c>
      <c r="G141" s="1" t="str">
        <f ca="1" xml:space="preserve"> IF( D141 = "", "",
         IFERROR(VLOOKUP(D141, フィールドリスト[], COLUMN(フィールドリスト[Select用文字列]) - 1, FALSE), " , '' ")
       )</f>
        <v/>
      </c>
    </row>
    <row r="142" spans="4:7" hidden="1" outlineLevel="1" x14ac:dyDescent="0.35">
      <c r="D142" s="20" t="str">
        <f ca="1">OFFSET(データ!$B$2, 0, $F142 - 1) &amp; ""</f>
        <v/>
      </c>
      <c r="E142" s="20" t="str">
        <f ca="1">OFFSET(データ!$B$3, 0, $F142 - 1) &amp; ""</f>
        <v/>
      </c>
      <c r="F142" s="1">
        <f t="shared" si="3"/>
        <v>140</v>
      </c>
      <c r="G142" s="1" t="str">
        <f ca="1" xml:space="preserve"> IF( D142 = "", "",
         IFERROR(VLOOKUP(D142, フィールドリスト[], COLUMN(フィールドリスト[Select用文字列]) - 1, FALSE), " , '' ")
       )</f>
        <v/>
      </c>
    </row>
    <row r="143" spans="4:7" hidden="1" outlineLevel="1" x14ac:dyDescent="0.35">
      <c r="D143" s="20" t="str">
        <f ca="1">OFFSET(データ!$B$2, 0, $F143 - 1) &amp; ""</f>
        <v/>
      </c>
      <c r="E143" s="20" t="str">
        <f ca="1">OFFSET(データ!$B$3, 0, $F143 - 1) &amp; ""</f>
        <v/>
      </c>
      <c r="F143" s="1">
        <f t="shared" si="3"/>
        <v>141</v>
      </c>
      <c r="G143" s="1" t="str">
        <f ca="1" xml:space="preserve"> IF( D143 = "", "",
         IFERROR(VLOOKUP(D143, フィールドリスト[], COLUMN(フィールドリスト[Select用文字列]) - 1, FALSE), " , '' ")
       )</f>
        <v/>
      </c>
    </row>
    <row r="144" spans="4:7" hidden="1" outlineLevel="1" x14ac:dyDescent="0.35">
      <c r="D144" s="20" t="str">
        <f ca="1">OFFSET(データ!$B$2, 0, $F144 - 1) &amp; ""</f>
        <v/>
      </c>
      <c r="E144" s="20" t="str">
        <f ca="1">OFFSET(データ!$B$3, 0, $F144 - 1) &amp; ""</f>
        <v/>
      </c>
      <c r="F144" s="1">
        <f t="shared" si="3"/>
        <v>142</v>
      </c>
      <c r="G144" s="1" t="str">
        <f ca="1" xml:space="preserve"> IF( D144 = "", "",
         IFERROR(VLOOKUP(D144, フィールドリスト[], COLUMN(フィールドリスト[Select用文字列]) - 1, FALSE), " , '' ")
       )</f>
        <v/>
      </c>
    </row>
    <row r="145" spans="4:7" hidden="1" outlineLevel="1" x14ac:dyDescent="0.35">
      <c r="D145" s="20" t="str">
        <f ca="1">OFFSET(データ!$B$2, 0, $F145 - 1) &amp; ""</f>
        <v/>
      </c>
      <c r="E145" s="20" t="str">
        <f ca="1">OFFSET(データ!$B$3, 0, $F145 - 1) &amp; ""</f>
        <v/>
      </c>
      <c r="F145" s="1">
        <f t="shared" si="3"/>
        <v>143</v>
      </c>
      <c r="G145" s="1" t="str">
        <f ca="1" xml:space="preserve"> IF( D145 = "", "",
         IFERROR(VLOOKUP(D145, フィールドリスト[], COLUMN(フィールドリスト[Select用文字列]) - 1, FALSE), " , '' ")
       )</f>
        <v/>
      </c>
    </row>
    <row r="146" spans="4:7" hidden="1" outlineLevel="1" x14ac:dyDescent="0.35">
      <c r="D146" s="20" t="str">
        <f ca="1">OFFSET(データ!$B$2, 0, $F146 - 1) &amp; ""</f>
        <v/>
      </c>
      <c r="E146" s="20" t="str">
        <f ca="1">OFFSET(データ!$B$3, 0, $F146 - 1) &amp; ""</f>
        <v/>
      </c>
      <c r="F146" s="1">
        <f t="shared" si="3"/>
        <v>144</v>
      </c>
      <c r="G146" s="1" t="str">
        <f ca="1" xml:space="preserve"> IF( D146 = "", "",
         IFERROR(VLOOKUP(D146, フィールドリスト[], COLUMN(フィールドリスト[Select用文字列]) - 1, FALSE), " , '' ")
       )</f>
        <v/>
      </c>
    </row>
    <row r="147" spans="4:7" hidden="1" outlineLevel="1" x14ac:dyDescent="0.35">
      <c r="D147" s="20" t="str">
        <f ca="1">OFFSET(データ!$B$2, 0, $F147 - 1) &amp; ""</f>
        <v/>
      </c>
      <c r="E147" s="20" t="str">
        <f ca="1">OFFSET(データ!$B$3, 0, $F147 - 1) &amp; ""</f>
        <v/>
      </c>
      <c r="F147" s="1">
        <f t="shared" si="3"/>
        <v>145</v>
      </c>
      <c r="G147" s="1" t="str">
        <f ca="1" xml:space="preserve"> IF( D147 = "", "",
         IFERROR(VLOOKUP(D147, フィールドリスト[], COLUMN(フィールドリスト[Select用文字列]) - 1, FALSE), " , '' ")
       )</f>
        <v/>
      </c>
    </row>
    <row r="148" spans="4:7" hidden="1" outlineLevel="1" x14ac:dyDescent="0.35">
      <c r="D148" s="20" t="str">
        <f ca="1">OFFSET(データ!$B$2, 0, $F148 - 1) &amp; ""</f>
        <v/>
      </c>
      <c r="E148" s="20" t="str">
        <f ca="1">OFFSET(データ!$B$3, 0, $F148 - 1) &amp; ""</f>
        <v/>
      </c>
      <c r="F148" s="1">
        <f t="shared" si="3"/>
        <v>146</v>
      </c>
      <c r="G148" s="1" t="str">
        <f ca="1" xml:space="preserve"> IF( D148 = "", "",
         IFERROR(VLOOKUP(D148, フィールドリスト[], COLUMN(フィールドリスト[Select用文字列]) - 1, FALSE), " , '' ")
       )</f>
        <v/>
      </c>
    </row>
    <row r="149" spans="4:7" hidden="1" outlineLevel="1" x14ac:dyDescent="0.35">
      <c r="D149" s="20" t="str">
        <f ca="1">OFFSET(データ!$B$2, 0, $F149 - 1) &amp; ""</f>
        <v/>
      </c>
      <c r="E149" s="20" t="str">
        <f ca="1">OFFSET(データ!$B$3, 0, $F149 - 1) &amp; ""</f>
        <v/>
      </c>
      <c r="F149" s="1">
        <f t="shared" si="3"/>
        <v>147</v>
      </c>
      <c r="G149" s="1" t="str">
        <f ca="1" xml:space="preserve"> IF( D149 = "", "",
         IFERROR(VLOOKUP(D149, フィールドリスト[], COLUMN(フィールドリスト[Select用文字列]) - 1, FALSE), " , '' ")
       )</f>
        <v/>
      </c>
    </row>
    <row r="150" spans="4:7" hidden="1" outlineLevel="1" x14ac:dyDescent="0.35">
      <c r="D150" s="20" t="str">
        <f ca="1">OFFSET(データ!$B$2, 0, $F150 - 1) &amp; ""</f>
        <v/>
      </c>
      <c r="E150" s="20" t="str">
        <f ca="1">OFFSET(データ!$B$3, 0, $F150 - 1) &amp; ""</f>
        <v/>
      </c>
      <c r="F150" s="1">
        <f t="shared" si="3"/>
        <v>148</v>
      </c>
      <c r="G150" s="1" t="str">
        <f ca="1" xml:space="preserve"> IF( D150 = "", "",
         IFERROR(VLOOKUP(D150, フィールドリスト[], COLUMN(フィールドリスト[Select用文字列]) - 1, FALSE), " , '' ")
       )</f>
        <v/>
      </c>
    </row>
    <row r="151" spans="4:7" hidden="1" outlineLevel="1" x14ac:dyDescent="0.35">
      <c r="D151" s="20" t="str">
        <f ca="1">OFFSET(データ!$B$2, 0, $F151 - 1) &amp; ""</f>
        <v/>
      </c>
      <c r="E151" s="20" t="str">
        <f ca="1">OFFSET(データ!$B$3, 0, $F151 - 1) &amp; ""</f>
        <v/>
      </c>
      <c r="F151" s="1">
        <f t="shared" si="3"/>
        <v>149</v>
      </c>
      <c r="G151" s="1" t="str">
        <f ca="1" xml:space="preserve"> IF( D151 = "", "",
         IFERROR(VLOOKUP(D151, フィールドリスト[], COLUMN(フィールドリスト[Select用文字列]) - 1, FALSE), " , '' ")
       )</f>
        <v/>
      </c>
    </row>
    <row r="152" spans="4:7" hidden="1" outlineLevel="1" x14ac:dyDescent="0.35">
      <c r="D152" s="20" t="str">
        <f ca="1">OFFSET(データ!$B$2, 0, $F152 - 1) &amp; ""</f>
        <v/>
      </c>
      <c r="E152" s="20" t="str">
        <f ca="1">OFFSET(データ!$B$3, 0, $F152 - 1) &amp; ""</f>
        <v/>
      </c>
      <c r="F152" s="1">
        <f t="shared" si="3"/>
        <v>150</v>
      </c>
      <c r="G152" s="1" t="str">
        <f ca="1" xml:space="preserve"> IF( D152 = "", "",
         IFERROR(VLOOKUP(D152, フィールドリスト[], COLUMN(フィールドリスト[Select用文字列]) - 1, FALSE), " , '' ")
       )</f>
        <v/>
      </c>
    </row>
    <row r="153" spans="4:7" hidden="1" outlineLevel="1" x14ac:dyDescent="0.35">
      <c r="D153" s="20" t="str">
        <f ca="1">OFFSET(データ!$B$2, 0, $F153 - 1) &amp; ""</f>
        <v/>
      </c>
      <c r="E153" s="20" t="str">
        <f ca="1">OFFSET(データ!$B$3, 0, $F153 - 1) &amp; ""</f>
        <v/>
      </c>
      <c r="F153" s="1">
        <f t="shared" si="3"/>
        <v>151</v>
      </c>
      <c r="G153" s="1" t="str">
        <f ca="1" xml:space="preserve"> IF( D153 = "", "",
         IFERROR(VLOOKUP(D153, フィールドリスト[], COLUMN(フィールドリスト[Select用文字列]) - 1, FALSE), " , '' ")
       )</f>
        <v/>
      </c>
    </row>
    <row r="154" spans="4:7" hidden="1" outlineLevel="1" x14ac:dyDescent="0.35">
      <c r="D154" s="20" t="str">
        <f ca="1">OFFSET(データ!$B$2, 0, $F154 - 1) &amp; ""</f>
        <v/>
      </c>
      <c r="E154" s="20" t="str">
        <f ca="1">OFFSET(データ!$B$3, 0, $F154 - 1) &amp; ""</f>
        <v/>
      </c>
      <c r="F154" s="1">
        <f t="shared" si="3"/>
        <v>152</v>
      </c>
      <c r="G154" s="1" t="str">
        <f ca="1" xml:space="preserve"> IF( D154 = "", "",
         IFERROR(VLOOKUP(D154, フィールドリスト[], COLUMN(フィールドリスト[Select用文字列]) - 1, FALSE), " , '' ")
       )</f>
        <v/>
      </c>
    </row>
    <row r="155" spans="4:7" hidden="1" outlineLevel="1" x14ac:dyDescent="0.35">
      <c r="D155" s="20" t="str">
        <f ca="1">OFFSET(データ!$B$2, 0, $F155 - 1) &amp; ""</f>
        <v/>
      </c>
      <c r="E155" s="20" t="str">
        <f ca="1">OFFSET(データ!$B$3, 0, $F155 - 1) &amp; ""</f>
        <v/>
      </c>
      <c r="F155" s="1">
        <f t="shared" si="3"/>
        <v>153</v>
      </c>
      <c r="G155" s="1" t="str">
        <f ca="1" xml:space="preserve"> IF( D155 = "", "",
         IFERROR(VLOOKUP(D155, フィールドリスト[], COLUMN(フィールドリスト[Select用文字列]) - 1, FALSE), " , '' ")
       )</f>
        <v/>
      </c>
    </row>
    <row r="156" spans="4:7" hidden="1" outlineLevel="1" x14ac:dyDescent="0.35">
      <c r="D156" s="20" t="str">
        <f ca="1">OFFSET(データ!$B$2, 0, $F156 - 1) &amp; ""</f>
        <v/>
      </c>
      <c r="E156" s="20" t="str">
        <f ca="1">OFFSET(データ!$B$3, 0, $F156 - 1) &amp; ""</f>
        <v/>
      </c>
      <c r="F156" s="1">
        <f t="shared" si="3"/>
        <v>154</v>
      </c>
      <c r="G156" s="1" t="str">
        <f ca="1" xml:space="preserve"> IF( D156 = "", "",
         IFERROR(VLOOKUP(D156, フィールドリスト[], COLUMN(フィールドリスト[Select用文字列]) - 1, FALSE), " , '' ")
       )</f>
        <v/>
      </c>
    </row>
    <row r="157" spans="4:7" hidden="1" outlineLevel="1" x14ac:dyDescent="0.35">
      <c r="D157" s="20" t="str">
        <f ca="1">OFFSET(データ!$B$2, 0, $F157 - 1) &amp; ""</f>
        <v/>
      </c>
      <c r="E157" s="20" t="str">
        <f ca="1">OFFSET(データ!$B$3, 0, $F157 - 1) &amp; ""</f>
        <v/>
      </c>
      <c r="F157" s="1">
        <f t="shared" si="3"/>
        <v>155</v>
      </c>
      <c r="G157" s="1" t="str">
        <f ca="1" xml:space="preserve"> IF( D157 = "", "",
         IFERROR(VLOOKUP(D157, フィールドリスト[], COLUMN(フィールドリスト[Select用文字列]) - 1, FALSE), " , '' ")
       )</f>
        <v/>
      </c>
    </row>
    <row r="158" spans="4:7" hidden="1" outlineLevel="1" x14ac:dyDescent="0.35">
      <c r="D158" s="20" t="str">
        <f ca="1">OFFSET(データ!$B$2, 0, $F158 - 1) &amp; ""</f>
        <v/>
      </c>
      <c r="E158" s="20" t="str">
        <f ca="1">OFFSET(データ!$B$3, 0, $F158 - 1) &amp; ""</f>
        <v/>
      </c>
      <c r="F158" s="1">
        <f t="shared" si="3"/>
        <v>156</v>
      </c>
      <c r="G158" s="1" t="str">
        <f ca="1" xml:space="preserve"> IF( D158 = "", "",
         IFERROR(VLOOKUP(D158, フィールドリスト[], COLUMN(フィールドリスト[Select用文字列]) - 1, FALSE), " , '' ")
       )</f>
        <v/>
      </c>
    </row>
    <row r="159" spans="4:7" hidden="1" outlineLevel="1" x14ac:dyDescent="0.35">
      <c r="D159" s="20" t="str">
        <f ca="1">OFFSET(データ!$B$2, 0, $F159 - 1) &amp; ""</f>
        <v/>
      </c>
      <c r="E159" s="20" t="str">
        <f ca="1">OFFSET(データ!$B$3, 0, $F159 - 1) &amp; ""</f>
        <v/>
      </c>
      <c r="F159" s="1">
        <f t="shared" si="3"/>
        <v>157</v>
      </c>
      <c r="G159" s="1" t="str">
        <f ca="1" xml:space="preserve"> IF( D159 = "", "",
         IFERROR(VLOOKUP(D159, フィールドリスト[], COLUMN(フィールドリスト[Select用文字列]) - 1, FALSE), " , '' ")
       )</f>
        <v/>
      </c>
    </row>
    <row r="160" spans="4:7" hidden="1" outlineLevel="1" x14ac:dyDescent="0.35">
      <c r="D160" s="20" t="str">
        <f ca="1">OFFSET(データ!$B$2, 0, $F160 - 1) &amp; ""</f>
        <v/>
      </c>
      <c r="E160" s="20" t="str">
        <f ca="1">OFFSET(データ!$B$3, 0, $F160 - 1) &amp; ""</f>
        <v/>
      </c>
      <c r="F160" s="1">
        <f t="shared" si="3"/>
        <v>158</v>
      </c>
      <c r="G160" s="1" t="str">
        <f ca="1" xml:space="preserve"> IF( D160 = "", "",
         IFERROR(VLOOKUP(D160, フィールドリスト[], COLUMN(フィールドリスト[Select用文字列]) - 1, FALSE), " , '' ")
       )</f>
        <v/>
      </c>
    </row>
    <row r="161" spans="4:7" hidden="1" outlineLevel="1" x14ac:dyDescent="0.35">
      <c r="D161" s="20" t="str">
        <f ca="1">OFFSET(データ!$B$2, 0, $F161 - 1) &amp; ""</f>
        <v/>
      </c>
      <c r="E161" s="20" t="str">
        <f ca="1">OFFSET(データ!$B$3, 0, $F161 - 1) &amp; ""</f>
        <v/>
      </c>
      <c r="F161" s="1">
        <f t="shared" si="3"/>
        <v>159</v>
      </c>
      <c r="G161" s="1" t="str">
        <f ca="1" xml:space="preserve"> IF( D161 = "", "",
         IFERROR(VLOOKUP(D161, フィールドリスト[], COLUMN(フィールドリスト[Select用文字列]) - 1, FALSE), " , '' ")
       )</f>
        <v/>
      </c>
    </row>
    <row r="162" spans="4:7" hidden="1" outlineLevel="1" x14ac:dyDescent="0.35">
      <c r="D162" s="20" t="str">
        <f ca="1">OFFSET(データ!$B$2, 0, $F162 - 1) &amp; ""</f>
        <v/>
      </c>
      <c r="E162" s="20" t="str">
        <f ca="1">OFFSET(データ!$B$3, 0, $F162 - 1) &amp; ""</f>
        <v/>
      </c>
      <c r="F162" s="1">
        <f t="shared" si="3"/>
        <v>160</v>
      </c>
      <c r="G162" s="1" t="str">
        <f ca="1" xml:space="preserve"> IF( D162 = "", "",
         IFERROR(VLOOKUP(D162, フィールドリスト[], COLUMN(フィールドリスト[Select用文字列]) - 1, FALSE), " , '' ")
       )</f>
        <v/>
      </c>
    </row>
    <row r="163" spans="4:7" hidden="1" outlineLevel="1" x14ac:dyDescent="0.35">
      <c r="D163" s="20" t="str">
        <f ca="1">OFFSET(データ!$B$2, 0, $F163 - 1) &amp; ""</f>
        <v/>
      </c>
      <c r="E163" s="20" t="str">
        <f ca="1">OFFSET(データ!$B$3, 0, $F163 - 1) &amp; ""</f>
        <v/>
      </c>
      <c r="F163" s="1">
        <f t="shared" si="3"/>
        <v>161</v>
      </c>
      <c r="G163" s="1" t="str">
        <f ca="1" xml:space="preserve"> IF( D163 = "", "",
         IFERROR(VLOOKUP(D163, フィールドリスト[], COLUMN(フィールドリスト[Select用文字列]) - 1, FALSE), " , '' ")
       )</f>
        <v/>
      </c>
    </row>
    <row r="164" spans="4:7" hidden="1" outlineLevel="1" x14ac:dyDescent="0.35">
      <c r="D164" s="20" t="str">
        <f ca="1">OFFSET(データ!$B$2, 0, $F164 - 1) &amp; ""</f>
        <v/>
      </c>
      <c r="E164" s="20" t="str">
        <f ca="1">OFFSET(データ!$B$3, 0, $F164 - 1) &amp; ""</f>
        <v/>
      </c>
      <c r="F164" s="1">
        <f t="shared" si="3"/>
        <v>162</v>
      </c>
      <c r="G164" s="1" t="str">
        <f ca="1" xml:space="preserve"> IF( D164 = "", "",
         IFERROR(VLOOKUP(D164, フィールドリスト[], COLUMN(フィールドリスト[Select用文字列]) - 1, FALSE), " , '' ")
       )</f>
        <v/>
      </c>
    </row>
    <row r="165" spans="4:7" hidden="1" outlineLevel="1" x14ac:dyDescent="0.35">
      <c r="D165" s="20" t="str">
        <f ca="1">OFFSET(データ!$B$2, 0, $F165 - 1) &amp; ""</f>
        <v/>
      </c>
      <c r="E165" s="20" t="str">
        <f ca="1">OFFSET(データ!$B$3, 0, $F165 - 1) &amp; ""</f>
        <v/>
      </c>
      <c r="F165" s="1">
        <f t="shared" si="3"/>
        <v>163</v>
      </c>
      <c r="G165" s="1" t="str">
        <f ca="1" xml:space="preserve"> IF( D165 = "", "",
         IFERROR(VLOOKUP(D165, フィールドリスト[], COLUMN(フィールドリスト[Select用文字列]) - 1, FALSE), " , '' ")
       )</f>
        <v/>
      </c>
    </row>
    <row r="166" spans="4:7" hidden="1" outlineLevel="1" x14ac:dyDescent="0.35">
      <c r="D166" s="20" t="str">
        <f ca="1">OFFSET(データ!$B$2, 0, $F166 - 1) &amp; ""</f>
        <v/>
      </c>
      <c r="E166" s="20" t="str">
        <f ca="1">OFFSET(データ!$B$3, 0, $F166 - 1) &amp; ""</f>
        <v/>
      </c>
      <c r="F166" s="1">
        <f t="shared" si="3"/>
        <v>164</v>
      </c>
      <c r="G166" s="1" t="str">
        <f ca="1" xml:space="preserve"> IF( D166 = "", "",
         IFERROR(VLOOKUP(D166, フィールドリスト[], COLUMN(フィールドリスト[Select用文字列]) - 1, FALSE), " , '' ")
       )</f>
        <v/>
      </c>
    </row>
    <row r="167" spans="4:7" hidden="1" outlineLevel="1" x14ac:dyDescent="0.35">
      <c r="D167" s="20" t="str">
        <f ca="1">OFFSET(データ!$B$2, 0, $F167 - 1) &amp; ""</f>
        <v/>
      </c>
      <c r="E167" s="20" t="str">
        <f ca="1">OFFSET(データ!$B$3, 0, $F167 - 1) &amp; ""</f>
        <v/>
      </c>
      <c r="F167" s="1">
        <f t="shared" si="3"/>
        <v>165</v>
      </c>
      <c r="G167" s="1" t="str">
        <f ca="1" xml:space="preserve"> IF( D167 = "", "",
         IFERROR(VLOOKUP(D167, フィールドリスト[], COLUMN(フィールドリスト[Select用文字列]) - 1, FALSE), " , '' ")
       )</f>
        <v/>
      </c>
    </row>
    <row r="168" spans="4:7" hidden="1" outlineLevel="1" x14ac:dyDescent="0.35">
      <c r="D168" s="20" t="str">
        <f ca="1">OFFSET(データ!$B$2, 0, $F168 - 1) &amp; ""</f>
        <v/>
      </c>
      <c r="E168" s="20" t="str">
        <f ca="1">OFFSET(データ!$B$3, 0, $F168 - 1) &amp; ""</f>
        <v/>
      </c>
      <c r="F168" s="1">
        <f t="shared" si="3"/>
        <v>166</v>
      </c>
      <c r="G168" s="1" t="str">
        <f ca="1" xml:space="preserve"> IF( D168 = "", "",
         IFERROR(VLOOKUP(D168, フィールドリスト[], COLUMN(フィールドリスト[Select用文字列]) - 1, FALSE), " , '' ")
       )</f>
        <v/>
      </c>
    </row>
    <row r="169" spans="4:7" hidden="1" outlineLevel="1" x14ac:dyDescent="0.35">
      <c r="D169" s="20" t="str">
        <f ca="1">OFFSET(データ!$B$2, 0, $F169 - 1) &amp; ""</f>
        <v/>
      </c>
      <c r="E169" s="20" t="str">
        <f ca="1">OFFSET(データ!$B$3, 0, $F169 - 1) &amp; ""</f>
        <v/>
      </c>
      <c r="F169" s="1">
        <f t="shared" si="3"/>
        <v>167</v>
      </c>
      <c r="G169" s="1" t="str">
        <f ca="1" xml:space="preserve"> IF( D169 = "", "",
         IFERROR(VLOOKUP(D169, フィールドリスト[], COLUMN(フィールドリスト[Select用文字列]) - 1, FALSE), " , '' ")
       )</f>
        <v/>
      </c>
    </row>
    <row r="170" spans="4:7" hidden="1" outlineLevel="1" x14ac:dyDescent="0.35">
      <c r="D170" s="20" t="str">
        <f ca="1">OFFSET(データ!$B$2, 0, $F170 - 1) &amp; ""</f>
        <v/>
      </c>
      <c r="E170" s="20" t="str">
        <f ca="1">OFFSET(データ!$B$3, 0, $F170 - 1) &amp; ""</f>
        <v/>
      </c>
      <c r="F170" s="1">
        <f t="shared" si="3"/>
        <v>168</v>
      </c>
      <c r="G170" s="1" t="str">
        <f ca="1" xml:space="preserve"> IF( D170 = "", "",
         IFERROR(VLOOKUP(D170, フィールドリスト[], COLUMN(フィールドリスト[Select用文字列]) - 1, FALSE), " , '' ")
       )</f>
        <v/>
      </c>
    </row>
    <row r="171" spans="4:7" hidden="1" outlineLevel="1" x14ac:dyDescent="0.35">
      <c r="D171" s="20" t="str">
        <f ca="1">OFFSET(データ!$B$2, 0, $F171 - 1) &amp; ""</f>
        <v/>
      </c>
      <c r="E171" s="20" t="str">
        <f ca="1">OFFSET(データ!$B$3, 0, $F171 - 1) &amp; ""</f>
        <v/>
      </c>
      <c r="F171" s="1">
        <f t="shared" si="3"/>
        <v>169</v>
      </c>
      <c r="G171" s="1" t="str">
        <f ca="1" xml:space="preserve"> IF( D171 = "", "",
         IFERROR(VLOOKUP(D171, フィールドリスト[], COLUMN(フィールドリスト[Select用文字列]) - 1, FALSE), " , '' ")
       )</f>
        <v/>
      </c>
    </row>
    <row r="172" spans="4:7" hidden="1" outlineLevel="1" x14ac:dyDescent="0.35">
      <c r="D172" s="20" t="str">
        <f ca="1">OFFSET(データ!$B$2, 0, $F172 - 1) &amp; ""</f>
        <v/>
      </c>
      <c r="E172" s="20" t="str">
        <f ca="1">OFFSET(データ!$B$3, 0, $F172 - 1) &amp; ""</f>
        <v/>
      </c>
      <c r="F172" s="1">
        <f t="shared" si="3"/>
        <v>170</v>
      </c>
      <c r="G172" s="1" t="str">
        <f ca="1" xml:space="preserve"> IF( D172 = "", "",
         IFERROR(VLOOKUP(D172, フィールドリスト[], COLUMN(フィールドリスト[Select用文字列]) - 1, FALSE), " , '' ")
       )</f>
        <v/>
      </c>
    </row>
    <row r="173" spans="4:7" hidden="1" outlineLevel="1" x14ac:dyDescent="0.35">
      <c r="D173" s="20" t="str">
        <f ca="1">OFFSET(データ!$B$2, 0, $F173 - 1) &amp; ""</f>
        <v/>
      </c>
      <c r="E173" s="20" t="str">
        <f ca="1">OFFSET(データ!$B$3, 0, $F173 - 1) &amp; ""</f>
        <v/>
      </c>
      <c r="F173" s="1">
        <f t="shared" si="3"/>
        <v>171</v>
      </c>
      <c r="G173" s="1" t="str">
        <f ca="1" xml:space="preserve"> IF( D173 = "", "",
         IFERROR(VLOOKUP(D173, フィールドリスト[], COLUMN(フィールドリスト[Select用文字列]) - 1, FALSE), " , '' ")
       )</f>
        <v/>
      </c>
    </row>
    <row r="174" spans="4:7" hidden="1" outlineLevel="1" x14ac:dyDescent="0.35">
      <c r="D174" s="20" t="str">
        <f ca="1">OFFSET(データ!$B$2, 0, $F174 - 1) &amp; ""</f>
        <v/>
      </c>
      <c r="E174" s="20" t="str">
        <f ca="1">OFFSET(データ!$B$3, 0, $F174 - 1) &amp; ""</f>
        <v/>
      </c>
      <c r="F174" s="1">
        <f t="shared" si="3"/>
        <v>172</v>
      </c>
      <c r="G174" s="1" t="str">
        <f ca="1" xml:space="preserve"> IF( D174 = "", "",
         IFERROR(VLOOKUP(D174, フィールドリスト[], COLUMN(フィールドリスト[Select用文字列]) - 1, FALSE), " , '' ")
       )</f>
        <v/>
      </c>
    </row>
    <row r="175" spans="4:7" hidden="1" outlineLevel="1" x14ac:dyDescent="0.35">
      <c r="D175" s="20" t="str">
        <f ca="1">OFFSET(データ!$B$2, 0, $F175 - 1) &amp; ""</f>
        <v/>
      </c>
      <c r="E175" s="20" t="str">
        <f ca="1">OFFSET(データ!$B$3, 0, $F175 - 1) &amp; ""</f>
        <v/>
      </c>
      <c r="F175" s="1">
        <f t="shared" si="3"/>
        <v>173</v>
      </c>
      <c r="G175" s="1" t="str">
        <f ca="1" xml:space="preserve"> IF( D175 = "", "",
         IFERROR(VLOOKUP(D175, フィールドリスト[], COLUMN(フィールドリスト[Select用文字列]) - 1, FALSE), " , '' ")
       )</f>
        <v/>
      </c>
    </row>
    <row r="176" spans="4:7" hidden="1" outlineLevel="1" x14ac:dyDescent="0.35">
      <c r="D176" s="20" t="str">
        <f ca="1">OFFSET(データ!$B$2, 0, $F176 - 1) &amp; ""</f>
        <v/>
      </c>
      <c r="E176" s="20" t="str">
        <f ca="1">OFFSET(データ!$B$3, 0, $F176 - 1) &amp; ""</f>
        <v/>
      </c>
      <c r="F176" s="1">
        <f t="shared" si="3"/>
        <v>174</v>
      </c>
      <c r="G176" s="1" t="str">
        <f ca="1" xml:space="preserve"> IF( D176 = "", "",
         IFERROR(VLOOKUP(D176, フィールドリスト[], COLUMN(フィールドリスト[Select用文字列]) - 1, FALSE), " , '' ")
       )</f>
        <v/>
      </c>
    </row>
    <row r="177" spans="4:7" hidden="1" outlineLevel="1" x14ac:dyDescent="0.35">
      <c r="D177" s="20" t="str">
        <f ca="1">OFFSET(データ!$B$2, 0, $F177 - 1) &amp; ""</f>
        <v/>
      </c>
      <c r="E177" s="20" t="str">
        <f ca="1">OFFSET(データ!$B$3, 0, $F177 - 1) &amp; ""</f>
        <v/>
      </c>
      <c r="F177" s="1">
        <f t="shared" si="3"/>
        <v>175</v>
      </c>
      <c r="G177" s="1" t="str">
        <f ca="1" xml:space="preserve"> IF( D177 = "", "",
         IFERROR(VLOOKUP(D177, フィールドリスト[], COLUMN(フィールドリスト[Select用文字列]) - 1, FALSE), " , '' ")
       )</f>
        <v/>
      </c>
    </row>
    <row r="178" spans="4:7" hidden="1" outlineLevel="1" x14ac:dyDescent="0.35">
      <c r="D178" s="20" t="str">
        <f ca="1">OFFSET(データ!$B$2, 0, $F178 - 1) &amp; ""</f>
        <v/>
      </c>
      <c r="E178" s="20" t="str">
        <f ca="1">OFFSET(データ!$B$3, 0, $F178 - 1) &amp; ""</f>
        <v/>
      </c>
      <c r="F178" s="1">
        <f t="shared" si="3"/>
        <v>176</v>
      </c>
      <c r="G178" s="1" t="str">
        <f ca="1" xml:space="preserve"> IF( D178 = "", "",
         IFERROR(VLOOKUP(D178, フィールドリスト[], COLUMN(フィールドリスト[Select用文字列]) - 1, FALSE), " , '' ")
       )</f>
        <v/>
      </c>
    </row>
    <row r="179" spans="4:7" hidden="1" outlineLevel="1" x14ac:dyDescent="0.35">
      <c r="D179" s="20" t="str">
        <f ca="1">OFFSET(データ!$B$2, 0, $F179 - 1) &amp; ""</f>
        <v/>
      </c>
      <c r="E179" s="20" t="str">
        <f ca="1">OFFSET(データ!$B$3, 0, $F179 - 1) &amp; ""</f>
        <v/>
      </c>
      <c r="F179" s="1">
        <f t="shared" si="3"/>
        <v>177</v>
      </c>
      <c r="G179" s="1" t="str">
        <f ca="1" xml:space="preserve"> IF( D179 = "", "",
         IFERROR(VLOOKUP(D179, フィールドリスト[], COLUMN(フィールドリスト[Select用文字列]) - 1, FALSE), " , '' ")
       )</f>
        <v/>
      </c>
    </row>
    <row r="180" spans="4:7" hidden="1" outlineLevel="1" x14ac:dyDescent="0.35">
      <c r="D180" s="20" t="str">
        <f ca="1">OFFSET(データ!$B$2, 0, $F180 - 1) &amp; ""</f>
        <v/>
      </c>
      <c r="E180" s="20" t="str">
        <f ca="1">OFFSET(データ!$B$3, 0, $F180 - 1) &amp; ""</f>
        <v/>
      </c>
      <c r="F180" s="1">
        <f t="shared" si="3"/>
        <v>178</v>
      </c>
      <c r="G180" s="1" t="str">
        <f ca="1" xml:space="preserve"> IF( D180 = "", "",
         IFERROR(VLOOKUP(D180, フィールドリスト[], COLUMN(フィールドリスト[Select用文字列]) - 1, FALSE), " , '' ")
       )</f>
        <v/>
      </c>
    </row>
    <row r="181" spans="4:7" hidden="1" outlineLevel="1" x14ac:dyDescent="0.35">
      <c r="D181" s="20" t="str">
        <f ca="1">OFFSET(データ!$B$2, 0, $F181 - 1) &amp; ""</f>
        <v/>
      </c>
      <c r="E181" s="20" t="str">
        <f ca="1">OFFSET(データ!$B$3, 0, $F181 - 1) &amp; ""</f>
        <v/>
      </c>
      <c r="F181" s="1">
        <f t="shared" si="3"/>
        <v>179</v>
      </c>
      <c r="G181" s="1" t="str">
        <f ca="1" xml:space="preserve"> IF( D181 = "", "",
         IFERROR(VLOOKUP(D181, フィールドリスト[], COLUMN(フィールドリスト[Select用文字列]) - 1, FALSE), " , '' ")
       )</f>
        <v/>
      </c>
    </row>
    <row r="182" spans="4:7" hidden="1" outlineLevel="1" x14ac:dyDescent="0.35">
      <c r="D182" s="20" t="str">
        <f ca="1">OFFSET(データ!$B$2, 0, $F182 - 1) &amp; ""</f>
        <v/>
      </c>
      <c r="E182" s="20" t="str">
        <f ca="1">OFFSET(データ!$B$3, 0, $F182 - 1) &amp; ""</f>
        <v/>
      </c>
      <c r="F182" s="1">
        <f t="shared" si="3"/>
        <v>180</v>
      </c>
      <c r="G182" s="1" t="str">
        <f ca="1" xml:space="preserve"> IF( D182 = "", "",
         IFERROR(VLOOKUP(D182, フィールドリスト[], COLUMN(フィールドリスト[Select用文字列]) - 1, FALSE), " , '' ")
       )</f>
        <v/>
      </c>
    </row>
    <row r="183" spans="4:7" hidden="1" outlineLevel="1" x14ac:dyDescent="0.35">
      <c r="D183" s="20" t="str">
        <f ca="1">OFFSET(データ!$B$2, 0, $F183 - 1) &amp; ""</f>
        <v/>
      </c>
      <c r="E183" s="20" t="str">
        <f ca="1">OFFSET(データ!$B$3, 0, $F183 - 1) &amp; ""</f>
        <v/>
      </c>
      <c r="F183" s="1">
        <f t="shared" si="3"/>
        <v>181</v>
      </c>
      <c r="G183" s="1" t="str">
        <f ca="1" xml:space="preserve"> IF( D183 = "", "",
         IFERROR(VLOOKUP(D183, フィールドリスト[], COLUMN(フィールドリスト[Select用文字列]) - 1, FALSE), " , '' ")
       )</f>
        <v/>
      </c>
    </row>
    <row r="184" spans="4:7" hidden="1" outlineLevel="1" x14ac:dyDescent="0.35">
      <c r="D184" s="20" t="str">
        <f ca="1">OFFSET(データ!$B$2, 0, $F184 - 1) &amp; ""</f>
        <v/>
      </c>
      <c r="E184" s="20" t="str">
        <f ca="1">OFFSET(データ!$B$3, 0, $F184 - 1) &amp; ""</f>
        <v/>
      </c>
      <c r="F184" s="1">
        <f t="shared" si="3"/>
        <v>182</v>
      </c>
      <c r="G184" s="1" t="str">
        <f ca="1" xml:space="preserve"> IF( D184 = "", "",
         IFERROR(VLOOKUP(D184, フィールドリスト[], COLUMN(フィールドリスト[Select用文字列]) - 1, FALSE), " , '' ")
       )</f>
        <v/>
      </c>
    </row>
    <row r="185" spans="4:7" hidden="1" outlineLevel="1" x14ac:dyDescent="0.35">
      <c r="D185" s="20" t="str">
        <f ca="1">OFFSET(データ!$B$2, 0, $F185 - 1) &amp; ""</f>
        <v/>
      </c>
      <c r="E185" s="20" t="str">
        <f ca="1">OFFSET(データ!$B$3, 0, $F185 - 1) &amp; ""</f>
        <v/>
      </c>
      <c r="F185" s="1">
        <f t="shared" si="3"/>
        <v>183</v>
      </c>
      <c r="G185" s="1" t="str">
        <f ca="1" xml:space="preserve"> IF( D185 = "", "",
         IFERROR(VLOOKUP(D185, フィールドリスト[], COLUMN(フィールドリスト[Select用文字列]) - 1, FALSE), " , '' ")
       )</f>
        <v/>
      </c>
    </row>
    <row r="186" spans="4:7" hidden="1" outlineLevel="1" x14ac:dyDescent="0.35">
      <c r="D186" s="20" t="str">
        <f ca="1">OFFSET(データ!$B$2, 0, $F186 - 1) &amp; ""</f>
        <v/>
      </c>
      <c r="E186" s="20" t="str">
        <f ca="1">OFFSET(データ!$B$3, 0, $F186 - 1) &amp; ""</f>
        <v/>
      </c>
      <c r="F186" s="1">
        <f t="shared" si="3"/>
        <v>184</v>
      </c>
      <c r="G186" s="1" t="str">
        <f ca="1" xml:space="preserve"> IF( D186 = "", "",
         IFERROR(VLOOKUP(D186, フィールドリスト[], COLUMN(フィールドリスト[Select用文字列]) - 1, FALSE), " , '' ")
       )</f>
        <v/>
      </c>
    </row>
    <row r="187" spans="4:7" hidden="1" outlineLevel="1" x14ac:dyDescent="0.35">
      <c r="D187" s="20" t="str">
        <f ca="1">OFFSET(データ!$B$2, 0, $F187 - 1) &amp; ""</f>
        <v/>
      </c>
      <c r="E187" s="20" t="str">
        <f ca="1">OFFSET(データ!$B$3, 0, $F187 - 1) &amp; ""</f>
        <v/>
      </c>
      <c r="F187" s="1">
        <f t="shared" si="3"/>
        <v>185</v>
      </c>
      <c r="G187" s="1" t="str">
        <f ca="1" xml:space="preserve"> IF( D187 = "", "",
         IFERROR(VLOOKUP(D187, フィールドリスト[], COLUMN(フィールドリスト[Select用文字列]) - 1, FALSE), " , '' ")
       )</f>
        <v/>
      </c>
    </row>
    <row r="188" spans="4:7" hidden="1" outlineLevel="1" x14ac:dyDescent="0.35">
      <c r="D188" s="20" t="str">
        <f ca="1">OFFSET(データ!$B$2, 0, $F188 - 1) &amp; ""</f>
        <v/>
      </c>
      <c r="E188" s="20" t="str">
        <f ca="1">OFFSET(データ!$B$3, 0, $F188 - 1) &amp; ""</f>
        <v/>
      </c>
      <c r="F188" s="1">
        <f t="shared" si="3"/>
        <v>186</v>
      </c>
      <c r="G188" s="1" t="str">
        <f ca="1" xml:space="preserve"> IF( D188 = "", "",
         IFERROR(VLOOKUP(D188, フィールドリスト[], COLUMN(フィールドリスト[Select用文字列]) - 1, FALSE), " , '' ")
       )</f>
        <v/>
      </c>
    </row>
    <row r="189" spans="4:7" hidden="1" outlineLevel="1" x14ac:dyDescent="0.35">
      <c r="D189" s="20" t="str">
        <f ca="1">OFFSET(データ!$B$2, 0, $F189 - 1) &amp; ""</f>
        <v/>
      </c>
      <c r="E189" s="20" t="str">
        <f ca="1">OFFSET(データ!$B$3, 0, $F189 - 1) &amp; ""</f>
        <v/>
      </c>
      <c r="F189" s="1">
        <f t="shared" si="3"/>
        <v>187</v>
      </c>
      <c r="G189" s="1" t="str">
        <f ca="1" xml:space="preserve"> IF( D189 = "", "",
         IFERROR(VLOOKUP(D189, フィールドリスト[], COLUMN(フィールドリスト[Select用文字列]) - 1, FALSE), " , '' ")
       )</f>
        <v/>
      </c>
    </row>
    <row r="190" spans="4:7" hidden="1" outlineLevel="1" x14ac:dyDescent="0.35">
      <c r="D190" s="20" t="str">
        <f ca="1">OFFSET(データ!$B$2, 0, $F190 - 1) &amp; ""</f>
        <v/>
      </c>
      <c r="E190" s="20" t="str">
        <f ca="1">OFFSET(データ!$B$3, 0, $F190 - 1) &amp; ""</f>
        <v/>
      </c>
      <c r="F190" s="1">
        <f t="shared" si="3"/>
        <v>188</v>
      </c>
      <c r="G190" s="1" t="str">
        <f ca="1" xml:space="preserve"> IF( D190 = "", "",
         IFERROR(VLOOKUP(D190, フィールドリスト[], COLUMN(フィールドリスト[Select用文字列]) - 1, FALSE), " , '' ")
       )</f>
        <v/>
      </c>
    </row>
    <row r="191" spans="4:7" hidden="1" outlineLevel="1" x14ac:dyDescent="0.35">
      <c r="D191" s="20" t="str">
        <f ca="1">OFFSET(データ!$B$2, 0, $F191 - 1) &amp; ""</f>
        <v/>
      </c>
      <c r="E191" s="20" t="str">
        <f ca="1">OFFSET(データ!$B$3, 0, $F191 - 1) &amp; ""</f>
        <v/>
      </c>
      <c r="F191" s="1">
        <f t="shared" si="3"/>
        <v>189</v>
      </c>
      <c r="G191" s="1" t="str">
        <f ca="1" xml:space="preserve"> IF( D191 = "", "",
         IFERROR(VLOOKUP(D191, フィールドリスト[], COLUMN(フィールドリスト[Select用文字列]) - 1, FALSE), " , '' ")
       )</f>
        <v/>
      </c>
    </row>
    <row r="192" spans="4:7" hidden="1" outlineLevel="1" x14ac:dyDescent="0.35">
      <c r="D192" s="20" t="str">
        <f ca="1">OFFSET(データ!$B$2, 0, $F192 - 1) &amp; ""</f>
        <v/>
      </c>
      <c r="E192" s="20" t="str">
        <f ca="1">OFFSET(データ!$B$3, 0, $F192 - 1) &amp; ""</f>
        <v/>
      </c>
      <c r="F192" s="1">
        <f t="shared" si="3"/>
        <v>190</v>
      </c>
      <c r="G192" s="1" t="str">
        <f ca="1" xml:space="preserve"> IF( D192 = "", "",
         IFERROR(VLOOKUP(D192, フィールドリスト[], COLUMN(フィールドリスト[Select用文字列]) - 1, FALSE), " , '' ")
       )</f>
        <v/>
      </c>
    </row>
    <row r="193" spans="4:7" hidden="1" outlineLevel="1" x14ac:dyDescent="0.35">
      <c r="D193" s="20" t="str">
        <f ca="1">OFFSET(データ!$B$2, 0, $F193 - 1) &amp; ""</f>
        <v/>
      </c>
      <c r="E193" s="20" t="str">
        <f ca="1">OFFSET(データ!$B$3, 0, $F193 - 1) &amp; ""</f>
        <v/>
      </c>
      <c r="F193" s="1">
        <f t="shared" si="3"/>
        <v>191</v>
      </c>
      <c r="G193" s="1" t="str">
        <f ca="1" xml:space="preserve"> IF( D193 = "", "",
         IFERROR(VLOOKUP(D193, フィールドリスト[], COLUMN(フィールドリスト[Select用文字列]) - 1, FALSE), " , '' ")
       )</f>
        <v/>
      </c>
    </row>
    <row r="194" spans="4:7" hidden="1" outlineLevel="1" x14ac:dyDescent="0.35">
      <c r="D194" s="20" t="str">
        <f ca="1">OFFSET(データ!$B$2, 0, $F194 - 1) &amp; ""</f>
        <v/>
      </c>
      <c r="E194" s="20" t="str">
        <f ca="1">OFFSET(データ!$B$3, 0, $F194 - 1) &amp; ""</f>
        <v/>
      </c>
      <c r="F194" s="1">
        <f t="shared" si="3"/>
        <v>192</v>
      </c>
      <c r="G194" s="1" t="str">
        <f ca="1" xml:space="preserve"> IF( D194 = "", "",
         IFERROR(VLOOKUP(D194, フィールドリスト[], COLUMN(フィールドリスト[Select用文字列]) - 1, FALSE), " , '' ")
       )</f>
        <v/>
      </c>
    </row>
    <row r="195" spans="4:7" hidden="1" outlineLevel="1" x14ac:dyDescent="0.35">
      <c r="D195" s="20" t="str">
        <f ca="1">OFFSET(データ!$B$2, 0, $F195 - 1) &amp; ""</f>
        <v/>
      </c>
      <c r="E195" s="20" t="str">
        <f ca="1">OFFSET(データ!$B$3, 0, $F195 - 1) &amp; ""</f>
        <v/>
      </c>
      <c r="F195" s="1">
        <f t="shared" si="3"/>
        <v>193</v>
      </c>
      <c r="G195" s="1" t="str">
        <f ca="1" xml:space="preserve"> IF( D195 = "", "",
         IFERROR(VLOOKUP(D195, フィールドリスト[], COLUMN(フィールドリスト[Select用文字列]) - 1, FALSE), " , '' ")
       )</f>
        <v/>
      </c>
    </row>
    <row r="196" spans="4:7" hidden="1" outlineLevel="1" x14ac:dyDescent="0.35">
      <c r="D196" s="20" t="str">
        <f ca="1">OFFSET(データ!$B$2, 0, $F196 - 1) &amp; ""</f>
        <v/>
      </c>
      <c r="E196" s="20" t="str">
        <f ca="1">OFFSET(データ!$B$3, 0, $F196 - 1) &amp; ""</f>
        <v/>
      </c>
      <c r="F196" s="1">
        <f t="shared" ref="F196:F245" si="4">ROW() - ROW($F$2)</f>
        <v>194</v>
      </c>
      <c r="G196" s="1" t="str">
        <f ca="1" xml:space="preserve"> IF( D196 = "", "",
         IFERROR(VLOOKUP(D196, フィールドリスト[], COLUMN(フィールドリスト[Select用文字列]) - 1, FALSE), " , '' ")
       )</f>
        <v/>
      </c>
    </row>
    <row r="197" spans="4:7" hidden="1" outlineLevel="1" x14ac:dyDescent="0.35">
      <c r="D197" s="20" t="str">
        <f ca="1">OFFSET(データ!$B$2, 0, $F197 - 1) &amp; ""</f>
        <v/>
      </c>
      <c r="E197" s="20" t="str">
        <f ca="1">OFFSET(データ!$B$3, 0, $F197 - 1) &amp; ""</f>
        <v/>
      </c>
      <c r="F197" s="1">
        <f t="shared" si="4"/>
        <v>195</v>
      </c>
      <c r="G197" s="1" t="str">
        <f ca="1" xml:space="preserve"> IF( D197 = "", "",
         IFERROR(VLOOKUP(D197, フィールドリスト[], COLUMN(フィールドリスト[Select用文字列]) - 1, FALSE), " , '' ")
       )</f>
        <v/>
      </c>
    </row>
    <row r="198" spans="4:7" hidden="1" outlineLevel="1" x14ac:dyDescent="0.35">
      <c r="D198" s="20" t="str">
        <f ca="1">OFFSET(データ!$B$2, 0, $F198 - 1) &amp; ""</f>
        <v/>
      </c>
      <c r="E198" s="20" t="str">
        <f ca="1">OFFSET(データ!$B$3, 0, $F198 - 1) &amp; ""</f>
        <v/>
      </c>
      <c r="F198" s="1">
        <f t="shared" si="4"/>
        <v>196</v>
      </c>
      <c r="G198" s="1" t="str">
        <f ca="1" xml:space="preserve"> IF( D198 = "", "",
         IFERROR(VLOOKUP(D198, フィールドリスト[], COLUMN(フィールドリスト[Select用文字列]) - 1, FALSE), " , '' ")
       )</f>
        <v/>
      </c>
    </row>
    <row r="199" spans="4:7" hidden="1" outlineLevel="1" x14ac:dyDescent="0.35">
      <c r="D199" s="20" t="str">
        <f ca="1">OFFSET(データ!$B$2, 0, $F199 - 1) &amp; ""</f>
        <v/>
      </c>
      <c r="E199" s="20" t="str">
        <f ca="1">OFFSET(データ!$B$3, 0, $F199 - 1) &amp; ""</f>
        <v/>
      </c>
      <c r="F199" s="1">
        <f t="shared" si="4"/>
        <v>197</v>
      </c>
      <c r="G199" s="1" t="str">
        <f ca="1" xml:space="preserve"> IF( D199 = "", "",
         IFERROR(VLOOKUP(D199, フィールドリスト[], COLUMN(フィールドリスト[Select用文字列]) - 1, FALSE), " , '' ")
       )</f>
        <v/>
      </c>
    </row>
    <row r="200" spans="4:7" hidden="1" outlineLevel="1" x14ac:dyDescent="0.35">
      <c r="D200" s="20" t="str">
        <f ca="1">OFFSET(データ!$B$2, 0, $F200 - 1) &amp; ""</f>
        <v/>
      </c>
      <c r="E200" s="20" t="str">
        <f ca="1">OFFSET(データ!$B$3, 0, $F200 - 1) &amp; ""</f>
        <v/>
      </c>
      <c r="F200" s="1">
        <f t="shared" si="4"/>
        <v>198</v>
      </c>
      <c r="G200" s="1" t="str">
        <f ca="1" xml:space="preserve"> IF( D200 = "", "",
         IFERROR(VLOOKUP(D200, フィールドリスト[], COLUMN(フィールドリスト[Select用文字列]) - 1, FALSE), " , '' ")
       )</f>
        <v/>
      </c>
    </row>
    <row r="201" spans="4:7" hidden="1" outlineLevel="1" x14ac:dyDescent="0.35">
      <c r="D201" s="20" t="str">
        <f ca="1">OFFSET(データ!$B$2, 0, $F201 - 1) &amp; ""</f>
        <v/>
      </c>
      <c r="E201" s="20" t="str">
        <f ca="1">OFFSET(データ!$B$3, 0, $F201 - 1) &amp; ""</f>
        <v/>
      </c>
      <c r="F201" s="1">
        <f t="shared" si="4"/>
        <v>199</v>
      </c>
      <c r="G201" s="1" t="str">
        <f ca="1" xml:space="preserve"> IF( D201 = "", "",
         IFERROR(VLOOKUP(D201, フィールドリスト[], COLUMN(フィールドリスト[Select用文字列]) - 1, FALSE), " , '' ")
       )</f>
        <v/>
      </c>
    </row>
    <row r="202" spans="4:7" hidden="1" outlineLevel="1" x14ac:dyDescent="0.35">
      <c r="D202" s="20" t="str">
        <f ca="1">OFFSET(データ!$B$2, 0, $F202 - 1) &amp; ""</f>
        <v/>
      </c>
      <c r="E202" s="20" t="str">
        <f ca="1">OFFSET(データ!$B$3, 0, $F202 - 1) &amp; ""</f>
        <v/>
      </c>
      <c r="F202" s="1">
        <f t="shared" si="4"/>
        <v>200</v>
      </c>
      <c r="G202" s="1" t="str">
        <f ca="1" xml:space="preserve"> IF( D202 = "", "",
         IFERROR(VLOOKUP(D202, フィールドリスト[], COLUMN(フィールドリスト[Select用文字列]) - 1, FALSE), " , '' ")
       )</f>
        <v/>
      </c>
    </row>
    <row r="203" spans="4:7" hidden="1" outlineLevel="1" x14ac:dyDescent="0.35">
      <c r="D203" s="20" t="str">
        <f ca="1">OFFSET(データ!$B$2, 0, $F203 - 1) &amp; ""</f>
        <v/>
      </c>
      <c r="E203" s="20" t="str">
        <f ca="1">OFFSET(データ!$B$3, 0, $F203 - 1) &amp; ""</f>
        <v/>
      </c>
      <c r="F203" s="1">
        <f t="shared" si="4"/>
        <v>201</v>
      </c>
      <c r="G203" s="1" t="str">
        <f ca="1" xml:space="preserve"> IF( D203 = "", "",
         IFERROR(VLOOKUP(D203, フィールドリスト[], COLUMN(フィールドリスト[Select用文字列]) - 1, FALSE), " , '' ")
       )</f>
        <v/>
      </c>
    </row>
    <row r="204" spans="4:7" hidden="1" outlineLevel="1" x14ac:dyDescent="0.35">
      <c r="D204" s="20" t="str">
        <f ca="1">OFFSET(データ!$B$2, 0, $F204 - 1) &amp; ""</f>
        <v/>
      </c>
      <c r="E204" s="20" t="str">
        <f ca="1">OFFSET(データ!$B$3, 0, $F204 - 1) &amp; ""</f>
        <v/>
      </c>
      <c r="F204" s="1">
        <f t="shared" si="4"/>
        <v>202</v>
      </c>
      <c r="G204" s="1" t="str">
        <f ca="1" xml:space="preserve"> IF( D204 = "", "",
         IFERROR(VLOOKUP(D204, フィールドリスト[], COLUMN(フィールドリスト[Select用文字列]) - 1, FALSE), " , '' ")
       )</f>
        <v/>
      </c>
    </row>
    <row r="205" spans="4:7" hidden="1" outlineLevel="1" x14ac:dyDescent="0.35">
      <c r="D205" s="20" t="str">
        <f ca="1">OFFSET(データ!$B$2, 0, $F205 - 1) &amp; ""</f>
        <v/>
      </c>
      <c r="E205" s="20" t="str">
        <f ca="1">OFFSET(データ!$B$3, 0, $F205 - 1) &amp; ""</f>
        <v/>
      </c>
      <c r="F205" s="1">
        <f t="shared" si="4"/>
        <v>203</v>
      </c>
      <c r="G205" s="1" t="str">
        <f ca="1" xml:space="preserve"> IF( D205 = "", "",
         IFERROR(VLOOKUP(D205, フィールドリスト[], COLUMN(フィールドリスト[Select用文字列]) - 1, FALSE), " , '' ")
       )</f>
        <v/>
      </c>
    </row>
    <row r="206" spans="4:7" hidden="1" outlineLevel="1" x14ac:dyDescent="0.35">
      <c r="D206" s="20" t="str">
        <f ca="1">OFFSET(データ!$B$2, 0, $F206 - 1) &amp; ""</f>
        <v/>
      </c>
      <c r="E206" s="20" t="str">
        <f ca="1">OFFSET(データ!$B$3, 0, $F206 - 1) &amp; ""</f>
        <v/>
      </c>
      <c r="F206" s="1">
        <f t="shared" si="4"/>
        <v>204</v>
      </c>
      <c r="G206" s="1" t="str">
        <f ca="1" xml:space="preserve"> IF( D206 = "", "",
         IFERROR(VLOOKUP(D206, フィールドリスト[], COLUMN(フィールドリスト[Select用文字列]) - 1, FALSE), " , '' ")
       )</f>
        <v/>
      </c>
    </row>
    <row r="207" spans="4:7" hidden="1" outlineLevel="1" x14ac:dyDescent="0.35">
      <c r="D207" s="20" t="str">
        <f ca="1">OFFSET(データ!$B$2, 0, $F207 - 1) &amp; ""</f>
        <v/>
      </c>
      <c r="E207" s="20" t="str">
        <f ca="1">OFFSET(データ!$B$3, 0, $F207 - 1) &amp; ""</f>
        <v/>
      </c>
      <c r="F207" s="1">
        <f t="shared" si="4"/>
        <v>205</v>
      </c>
      <c r="G207" s="1" t="str">
        <f ca="1" xml:space="preserve"> IF( D207 = "", "",
         IFERROR(VLOOKUP(D207, フィールドリスト[], COLUMN(フィールドリスト[Select用文字列]) - 1, FALSE), " , '' ")
       )</f>
        <v/>
      </c>
    </row>
    <row r="208" spans="4:7" hidden="1" outlineLevel="1" x14ac:dyDescent="0.35">
      <c r="D208" s="20" t="str">
        <f ca="1">OFFSET(データ!$B$2, 0, $F208 - 1) &amp; ""</f>
        <v/>
      </c>
      <c r="E208" s="20" t="str">
        <f ca="1">OFFSET(データ!$B$3, 0, $F208 - 1) &amp; ""</f>
        <v/>
      </c>
      <c r="F208" s="1">
        <f t="shared" si="4"/>
        <v>206</v>
      </c>
      <c r="G208" s="1" t="str">
        <f ca="1" xml:space="preserve"> IF( D208 = "", "",
         IFERROR(VLOOKUP(D208, フィールドリスト[], COLUMN(フィールドリスト[Select用文字列]) - 1, FALSE), " , '' ")
       )</f>
        <v/>
      </c>
    </row>
    <row r="209" spans="4:7" hidden="1" outlineLevel="1" x14ac:dyDescent="0.35">
      <c r="D209" s="20" t="str">
        <f ca="1">OFFSET(データ!$B$2, 0, $F209 - 1) &amp; ""</f>
        <v/>
      </c>
      <c r="E209" s="20" t="str">
        <f ca="1">OFFSET(データ!$B$3, 0, $F209 - 1) &amp; ""</f>
        <v/>
      </c>
      <c r="F209" s="1">
        <f t="shared" si="4"/>
        <v>207</v>
      </c>
      <c r="G209" s="1" t="str">
        <f ca="1" xml:space="preserve"> IF( D209 = "", "",
         IFERROR(VLOOKUP(D209, フィールドリスト[], COLUMN(フィールドリスト[Select用文字列]) - 1, FALSE), " , '' ")
       )</f>
        <v/>
      </c>
    </row>
    <row r="210" spans="4:7" hidden="1" outlineLevel="1" x14ac:dyDescent="0.35">
      <c r="D210" s="20" t="str">
        <f ca="1">OFFSET(データ!$B$2, 0, $F210 - 1) &amp; ""</f>
        <v/>
      </c>
      <c r="E210" s="20" t="str">
        <f ca="1">OFFSET(データ!$B$3, 0, $F210 - 1) &amp; ""</f>
        <v/>
      </c>
      <c r="F210" s="1">
        <f t="shared" si="4"/>
        <v>208</v>
      </c>
      <c r="G210" s="1" t="str">
        <f ca="1" xml:space="preserve"> IF( D210 = "", "",
         IFERROR(VLOOKUP(D210, フィールドリスト[], COLUMN(フィールドリスト[Select用文字列]) - 1, FALSE), " , '' ")
       )</f>
        <v/>
      </c>
    </row>
    <row r="211" spans="4:7" hidden="1" outlineLevel="1" x14ac:dyDescent="0.35">
      <c r="D211" s="20" t="str">
        <f ca="1">OFFSET(データ!$B$2, 0, $F211 - 1) &amp; ""</f>
        <v/>
      </c>
      <c r="E211" s="20" t="str">
        <f ca="1">OFFSET(データ!$B$3, 0, $F211 - 1) &amp; ""</f>
        <v/>
      </c>
      <c r="F211" s="1">
        <f t="shared" si="4"/>
        <v>209</v>
      </c>
      <c r="G211" s="1" t="str">
        <f ca="1" xml:space="preserve"> IF( D211 = "", "",
         IFERROR(VLOOKUP(D211, フィールドリスト[], COLUMN(フィールドリスト[Select用文字列]) - 1, FALSE), " , '' ")
       )</f>
        <v/>
      </c>
    </row>
    <row r="212" spans="4:7" hidden="1" outlineLevel="1" x14ac:dyDescent="0.35">
      <c r="D212" s="20" t="str">
        <f ca="1">OFFSET(データ!$B$2, 0, $F212 - 1) &amp; ""</f>
        <v/>
      </c>
      <c r="E212" s="20" t="str">
        <f ca="1">OFFSET(データ!$B$3, 0, $F212 - 1) &amp; ""</f>
        <v/>
      </c>
      <c r="F212" s="1">
        <f t="shared" si="4"/>
        <v>210</v>
      </c>
      <c r="G212" s="1" t="str">
        <f ca="1" xml:space="preserve"> IF( D212 = "", "",
         IFERROR(VLOOKUP(D212, フィールドリスト[], COLUMN(フィールドリスト[Select用文字列]) - 1, FALSE), " , '' ")
       )</f>
        <v/>
      </c>
    </row>
    <row r="213" spans="4:7" hidden="1" outlineLevel="1" x14ac:dyDescent="0.35">
      <c r="D213" s="20" t="str">
        <f ca="1">OFFSET(データ!$B$2, 0, $F213 - 1) &amp; ""</f>
        <v/>
      </c>
      <c r="E213" s="20" t="str">
        <f ca="1">OFFSET(データ!$B$3, 0, $F213 - 1) &amp; ""</f>
        <v/>
      </c>
      <c r="F213" s="1">
        <f t="shared" si="4"/>
        <v>211</v>
      </c>
      <c r="G213" s="1" t="str">
        <f ca="1" xml:space="preserve"> IF( D213 = "", "",
         IFERROR(VLOOKUP(D213, フィールドリスト[], COLUMN(フィールドリスト[Select用文字列]) - 1, FALSE), " , '' ")
       )</f>
        <v/>
      </c>
    </row>
    <row r="214" spans="4:7" hidden="1" outlineLevel="1" x14ac:dyDescent="0.35">
      <c r="D214" s="20" t="str">
        <f ca="1">OFFSET(データ!$B$2, 0, $F214 - 1) &amp; ""</f>
        <v/>
      </c>
      <c r="E214" s="20" t="str">
        <f ca="1">OFFSET(データ!$B$3, 0, $F214 - 1) &amp; ""</f>
        <v/>
      </c>
      <c r="F214" s="1">
        <f t="shared" si="4"/>
        <v>212</v>
      </c>
      <c r="G214" s="1" t="str">
        <f ca="1" xml:space="preserve"> IF( D214 = "", "",
         IFERROR(VLOOKUP(D214, フィールドリスト[], COLUMN(フィールドリスト[Select用文字列]) - 1, FALSE), " , '' ")
       )</f>
        <v/>
      </c>
    </row>
    <row r="215" spans="4:7" hidden="1" outlineLevel="1" x14ac:dyDescent="0.35">
      <c r="D215" s="20" t="str">
        <f ca="1">OFFSET(データ!$B$2, 0, $F215 - 1) &amp; ""</f>
        <v/>
      </c>
      <c r="E215" s="20" t="str">
        <f ca="1">OFFSET(データ!$B$3, 0, $F215 - 1) &amp; ""</f>
        <v/>
      </c>
      <c r="F215" s="1">
        <f t="shared" si="4"/>
        <v>213</v>
      </c>
      <c r="G215" s="1" t="str">
        <f ca="1" xml:space="preserve"> IF( D215 = "", "",
         IFERROR(VLOOKUP(D215, フィールドリスト[], COLUMN(フィールドリスト[Select用文字列]) - 1, FALSE), " , '' ")
       )</f>
        <v/>
      </c>
    </row>
    <row r="216" spans="4:7" hidden="1" outlineLevel="1" x14ac:dyDescent="0.35">
      <c r="D216" s="20" t="str">
        <f ca="1">OFFSET(データ!$B$2, 0, $F216 - 1) &amp; ""</f>
        <v/>
      </c>
      <c r="E216" s="20" t="str">
        <f ca="1">OFFSET(データ!$B$3, 0, $F216 - 1) &amp; ""</f>
        <v/>
      </c>
      <c r="F216" s="1">
        <f t="shared" si="4"/>
        <v>214</v>
      </c>
      <c r="G216" s="1" t="str">
        <f ca="1" xml:space="preserve"> IF( D216 = "", "",
         IFERROR(VLOOKUP(D216, フィールドリスト[], COLUMN(フィールドリスト[Select用文字列]) - 1, FALSE), " , '' ")
       )</f>
        <v/>
      </c>
    </row>
    <row r="217" spans="4:7" hidden="1" outlineLevel="1" x14ac:dyDescent="0.35">
      <c r="D217" s="20" t="str">
        <f ca="1">OFFSET(データ!$B$2, 0, $F217 - 1) &amp; ""</f>
        <v/>
      </c>
      <c r="E217" s="20" t="str">
        <f ca="1">OFFSET(データ!$B$3, 0, $F217 - 1) &amp; ""</f>
        <v/>
      </c>
      <c r="F217" s="1">
        <f t="shared" si="4"/>
        <v>215</v>
      </c>
      <c r="G217" s="1" t="str">
        <f ca="1" xml:space="preserve"> IF( D217 = "", "",
         IFERROR(VLOOKUP(D217, フィールドリスト[], COLUMN(フィールドリスト[Select用文字列]) - 1, FALSE), " , '' ")
       )</f>
        <v/>
      </c>
    </row>
    <row r="218" spans="4:7" hidden="1" outlineLevel="1" x14ac:dyDescent="0.35">
      <c r="D218" s="20" t="str">
        <f ca="1">OFFSET(データ!$B$2, 0, $F218 - 1) &amp; ""</f>
        <v/>
      </c>
      <c r="E218" s="20" t="str">
        <f ca="1">OFFSET(データ!$B$3, 0, $F218 - 1) &amp; ""</f>
        <v/>
      </c>
      <c r="F218" s="1">
        <f t="shared" si="4"/>
        <v>216</v>
      </c>
      <c r="G218" s="1" t="str">
        <f ca="1" xml:space="preserve"> IF( D218 = "", "",
         IFERROR(VLOOKUP(D218, フィールドリスト[], COLUMN(フィールドリスト[Select用文字列]) - 1, FALSE), " , '' ")
       )</f>
        <v/>
      </c>
    </row>
    <row r="219" spans="4:7" hidden="1" outlineLevel="1" x14ac:dyDescent="0.35">
      <c r="D219" s="20" t="str">
        <f ca="1">OFFSET(データ!$B$2, 0, $F219 - 1) &amp; ""</f>
        <v/>
      </c>
      <c r="E219" s="20" t="str">
        <f ca="1">OFFSET(データ!$B$3, 0, $F219 - 1) &amp; ""</f>
        <v/>
      </c>
      <c r="F219" s="1">
        <f t="shared" si="4"/>
        <v>217</v>
      </c>
      <c r="G219" s="1" t="str">
        <f ca="1" xml:space="preserve"> IF( D219 = "", "",
         IFERROR(VLOOKUP(D219, フィールドリスト[], COLUMN(フィールドリスト[Select用文字列]) - 1, FALSE), " , '' ")
       )</f>
        <v/>
      </c>
    </row>
    <row r="220" spans="4:7" hidden="1" outlineLevel="1" x14ac:dyDescent="0.35">
      <c r="D220" s="20" t="str">
        <f ca="1">OFFSET(データ!$B$2, 0, $F220 - 1) &amp; ""</f>
        <v/>
      </c>
      <c r="E220" s="20" t="str">
        <f ca="1">OFFSET(データ!$B$3, 0, $F220 - 1) &amp; ""</f>
        <v/>
      </c>
      <c r="F220" s="1">
        <f t="shared" si="4"/>
        <v>218</v>
      </c>
      <c r="G220" s="1" t="str">
        <f ca="1" xml:space="preserve"> IF( D220 = "", "",
         IFERROR(VLOOKUP(D220, フィールドリスト[], COLUMN(フィールドリスト[Select用文字列]) - 1, FALSE), " , '' ")
       )</f>
        <v/>
      </c>
    </row>
    <row r="221" spans="4:7" hidden="1" outlineLevel="1" x14ac:dyDescent="0.35">
      <c r="D221" s="20" t="str">
        <f ca="1">OFFSET(データ!$B$2, 0, $F221 - 1) &amp; ""</f>
        <v/>
      </c>
      <c r="E221" s="20" t="str">
        <f ca="1">OFFSET(データ!$B$3, 0, $F221 - 1) &amp; ""</f>
        <v/>
      </c>
      <c r="F221" s="1">
        <f t="shared" si="4"/>
        <v>219</v>
      </c>
      <c r="G221" s="1" t="str">
        <f ca="1" xml:space="preserve"> IF( D221 = "", "",
         IFERROR(VLOOKUP(D221, フィールドリスト[], COLUMN(フィールドリスト[Select用文字列]) - 1, FALSE), " , '' ")
       )</f>
        <v/>
      </c>
    </row>
    <row r="222" spans="4:7" hidden="1" outlineLevel="1" x14ac:dyDescent="0.35">
      <c r="D222" s="20" t="str">
        <f ca="1">OFFSET(データ!$B$2, 0, $F222 - 1) &amp; ""</f>
        <v/>
      </c>
      <c r="E222" s="20" t="str">
        <f ca="1">OFFSET(データ!$B$3, 0, $F222 - 1) &amp; ""</f>
        <v/>
      </c>
      <c r="F222" s="1">
        <f t="shared" si="4"/>
        <v>220</v>
      </c>
      <c r="G222" s="1" t="str">
        <f ca="1" xml:space="preserve"> IF( D222 = "", "",
         IFERROR(VLOOKUP(D222, フィールドリスト[], COLUMN(フィールドリスト[Select用文字列]) - 1, FALSE), " , '' ")
       )</f>
        <v/>
      </c>
    </row>
    <row r="223" spans="4:7" hidden="1" outlineLevel="1" x14ac:dyDescent="0.35">
      <c r="D223" s="20" t="str">
        <f ca="1">OFFSET(データ!$B$2, 0, $F223 - 1) &amp; ""</f>
        <v/>
      </c>
      <c r="E223" s="20" t="str">
        <f ca="1">OFFSET(データ!$B$3, 0, $F223 - 1) &amp; ""</f>
        <v/>
      </c>
      <c r="F223" s="1">
        <f t="shared" si="4"/>
        <v>221</v>
      </c>
      <c r="G223" s="1" t="str">
        <f ca="1" xml:space="preserve"> IF( D223 = "", "",
         IFERROR(VLOOKUP(D223, フィールドリスト[], COLUMN(フィールドリスト[Select用文字列]) - 1, FALSE), " , '' ")
       )</f>
        <v/>
      </c>
    </row>
    <row r="224" spans="4:7" hidden="1" outlineLevel="1" x14ac:dyDescent="0.35">
      <c r="D224" s="20" t="str">
        <f ca="1">OFFSET(データ!$B$2, 0, $F224 - 1) &amp; ""</f>
        <v/>
      </c>
      <c r="E224" s="20" t="str">
        <f ca="1">OFFSET(データ!$B$3, 0, $F224 - 1) &amp; ""</f>
        <v/>
      </c>
      <c r="F224" s="1">
        <f t="shared" si="4"/>
        <v>222</v>
      </c>
      <c r="G224" s="1" t="str">
        <f ca="1" xml:space="preserve"> IF( D224 = "", "",
         IFERROR(VLOOKUP(D224, フィールドリスト[], COLUMN(フィールドリスト[Select用文字列]) - 1, FALSE), " , '' ")
       )</f>
        <v/>
      </c>
    </row>
    <row r="225" spans="4:7" hidden="1" outlineLevel="1" x14ac:dyDescent="0.35">
      <c r="D225" s="20" t="str">
        <f ca="1">OFFSET(データ!$B$2, 0, $F225 - 1) &amp; ""</f>
        <v/>
      </c>
      <c r="E225" s="20" t="str">
        <f ca="1">OFFSET(データ!$B$3, 0, $F225 - 1) &amp; ""</f>
        <v/>
      </c>
      <c r="F225" s="1">
        <f t="shared" si="4"/>
        <v>223</v>
      </c>
      <c r="G225" s="1" t="str">
        <f ca="1" xml:space="preserve"> IF( D225 = "", "",
         IFERROR(VLOOKUP(D225, フィールドリスト[], COLUMN(フィールドリスト[Select用文字列]) - 1, FALSE), " , '' ")
       )</f>
        <v/>
      </c>
    </row>
    <row r="226" spans="4:7" hidden="1" outlineLevel="1" x14ac:dyDescent="0.35">
      <c r="D226" s="20" t="str">
        <f ca="1">OFFSET(データ!$B$2, 0, $F226 - 1) &amp; ""</f>
        <v/>
      </c>
      <c r="E226" s="20" t="str">
        <f ca="1">OFFSET(データ!$B$3, 0, $F226 - 1) &amp; ""</f>
        <v/>
      </c>
      <c r="F226" s="1">
        <f t="shared" si="4"/>
        <v>224</v>
      </c>
      <c r="G226" s="1" t="str">
        <f ca="1" xml:space="preserve"> IF( D226 = "", "",
         IFERROR(VLOOKUP(D226, フィールドリスト[], COLUMN(フィールドリスト[Select用文字列]) - 1, FALSE), " , '' ")
       )</f>
        <v/>
      </c>
    </row>
    <row r="227" spans="4:7" hidden="1" outlineLevel="1" x14ac:dyDescent="0.35">
      <c r="D227" s="20" t="str">
        <f ca="1">OFFSET(データ!$B$2, 0, $F227 - 1) &amp; ""</f>
        <v/>
      </c>
      <c r="E227" s="20" t="str">
        <f ca="1">OFFSET(データ!$B$3, 0, $F227 - 1) &amp; ""</f>
        <v/>
      </c>
      <c r="F227" s="1">
        <f t="shared" si="4"/>
        <v>225</v>
      </c>
      <c r="G227" s="1" t="str">
        <f ca="1" xml:space="preserve"> IF( D227 = "", "",
         IFERROR(VLOOKUP(D227, フィールドリスト[], COLUMN(フィールドリスト[Select用文字列]) - 1, FALSE), " , '' ")
       )</f>
        <v/>
      </c>
    </row>
    <row r="228" spans="4:7" hidden="1" outlineLevel="1" x14ac:dyDescent="0.35">
      <c r="D228" s="20" t="str">
        <f ca="1">OFFSET(データ!$B$2, 0, $F228 - 1) &amp; ""</f>
        <v/>
      </c>
      <c r="E228" s="20" t="str">
        <f ca="1">OFFSET(データ!$B$3, 0, $F228 - 1) &amp; ""</f>
        <v/>
      </c>
      <c r="F228" s="1">
        <f t="shared" si="4"/>
        <v>226</v>
      </c>
      <c r="G228" s="1" t="str">
        <f ca="1" xml:space="preserve"> IF( D228 = "", "",
         IFERROR(VLOOKUP(D228, フィールドリスト[], COLUMN(フィールドリスト[Select用文字列]) - 1, FALSE), " , '' ")
       )</f>
        <v/>
      </c>
    </row>
    <row r="229" spans="4:7" hidden="1" outlineLevel="1" x14ac:dyDescent="0.35">
      <c r="D229" s="20" t="str">
        <f ca="1">OFFSET(データ!$B$2, 0, $F229 - 1) &amp; ""</f>
        <v/>
      </c>
      <c r="E229" s="20" t="str">
        <f ca="1">OFFSET(データ!$B$3, 0, $F229 - 1) &amp; ""</f>
        <v/>
      </c>
      <c r="F229" s="1">
        <f t="shared" si="4"/>
        <v>227</v>
      </c>
      <c r="G229" s="1" t="str">
        <f ca="1" xml:space="preserve"> IF( D229 = "", "",
         IFERROR(VLOOKUP(D229, フィールドリスト[], COLUMN(フィールドリスト[Select用文字列]) - 1, FALSE), " , '' ")
       )</f>
        <v/>
      </c>
    </row>
    <row r="230" spans="4:7" hidden="1" outlineLevel="1" x14ac:dyDescent="0.35">
      <c r="D230" s="20" t="str">
        <f ca="1">OFFSET(データ!$B$2, 0, $F230 - 1) &amp; ""</f>
        <v/>
      </c>
      <c r="E230" s="20" t="str">
        <f ca="1">OFFSET(データ!$B$3, 0, $F230 - 1) &amp; ""</f>
        <v/>
      </c>
      <c r="F230" s="1">
        <f t="shared" si="4"/>
        <v>228</v>
      </c>
      <c r="G230" s="1" t="str">
        <f ca="1" xml:space="preserve"> IF( D230 = "", "",
         IFERROR(VLOOKUP(D230, フィールドリスト[], COLUMN(フィールドリスト[Select用文字列]) - 1, FALSE), " , '' ")
       )</f>
        <v/>
      </c>
    </row>
    <row r="231" spans="4:7" hidden="1" outlineLevel="1" x14ac:dyDescent="0.35">
      <c r="D231" s="20" t="str">
        <f ca="1">OFFSET(データ!$B$2, 0, $F231 - 1) &amp; ""</f>
        <v/>
      </c>
      <c r="E231" s="20" t="str">
        <f ca="1">OFFSET(データ!$B$3, 0, $F231 - 1) &amp; ""</f>
        <v/>
      </c>
      <c r="F231" s="1">
        <f t="shared" si="4"/>
        <v>229</v>
      </c>
      <c r="G231" s="1" t="str">
        <f ca="1" xml:space="preserve"> IF( D231 = "", "",
         IFERROR(VLOOKUP(D231, フィールドリスト[], COLUMN(フィールドリスト[Select用文字列]) - 1, FALSE), " , '' ")
       )</f>
        <v/>
      </c>
    </row>
    <row r="232" spans="4:7" hidden="1" outlineLevel="1" x14ac:dyDescent="0.35">
      <c r="D232" s="20" t="str">
        <f ca="1">OFFSET(データ!$B$2, 0, $F232 - 1) &amp; ""</f>
        <v/>
      </c>
      <c r="E232" s="20" t="str">
        <f ca="1">OFFSET(データ!$B$3, 0, $F232 - 1) &amp; ""</f>
        <v/>
      </c>
      <c r="F232" s="1">
        <f t="shared" si="4"/>
        <v>230</v>
      </c>
      <c r="G232" s="1" t="str">
        <f ca="1" xml:space="preserve"> IF( D232 = "", "",
         IFERROR(VLOOKUP(D232, フィールドリスト[], COLUMN(フィールドリスト[Select用文字列]) - 1, FALSE), " , '' ")
       )</f>
        <v/>
      </c>
    </row>
    <row r="233" spans="4:7" hidden="1" outlineLevel="1" x14ac:dyDescent="0.35">
      <c r="D233" s="20" t="str">
        <f ca="1">OFFSET(データ!$B$2, 0, $F233 - 1) &amp; ""</f>
        <v/>
      </c>
      <c r="E233" s="20" t="str">
        <f ca="1">OFFSET(データ!$B$3, 0, $F233 - 1) &amp; ""</f>
        <v/>
      </c>
      <c r="F233" s="1">
        <f t="shared" si="4"/>
        <v>231</v>
      </c>
      <c r="G233" s="1" t="str">
        <f ca="1" xml:space="preserve"> IF( D233 = "", "",
         IFERROR(VLOOKUP(D233, フィールドリスト[], COLUMN(フィールドリスト[Select用文字列]) - 1, FALSE), " , '' ")
       )</f>
        <v/>
      </c>
    </row>
    <row r="234" spans="4:7" hidden="1" outlineLevel="1" x14ac:dyDescent="0.35">
      <c r="D234" s="20" t="str">
        <f ca="1">OFFSET(データ!$B$2, 0, $F234 - 1) &amp; ""</f>
        <v/>
      </c>
      <c r="E234" s="20" t="str">
        <f ca="1">OFFSET(データ!$B$3, 0, $F234 - 1) &amp; ""</f>
        <v/>
      </c>
      <c r="F234" s="1">
        <f t="shared" si="4"/>
        <v>232</v>
      </c>
      <c r="G234" s="1" t="str">
        <f ca="1" xml:space="preserve"> IF( D234 = "", "",
         IFERROR(VLOOKUP(D234, フィールドリスト[], COLUMN(フィールドリスト[Select用文字列]) - 1, FALSE), " , '' ")
       )</f>
        <v/>
      </c>
    </row>
    <row r="235" spans="4:7" hidden="1" outlineLevel="1" x14ac:dyDescent="0.35">
      <c r="D235" s="20" t="str">
        <f ca="1">OFFSET(データ!$B$2, 0, $F235 - 1) &amp; ""</f>
        <v/>
      </c>
      <c r="E235" s="20" t="str">
        <f ca="1">OFFSET(データ!$B$3, 0, $F235 - 1) &amp; ""</f>
        <v/>
      </c>
      <c r="F235" s="1">
        <f t="shared" si="4"/>
        <v>233</v>
      </c>
      <c r="G235" s="1" t="str">
        <f ca="1" xml:space="preserve"> IF( D235 = "", "",
         IFERROR(VLOOKUP(D235, フィールドリスト[], COLUMN(フィールドリスト[Select用文字列]) - 1, FALSE), " , '' ")
       )</f>
        <v/>
      </c>
    </row>
    <row r="236" spans="4:7" hidden="1" outlineLevel="1" x14ac:dyDescent="0.35">
      <c r="D236" s="20" t="str">
        <f ca="1">OFFSET(データ!$B$2, 0, $F236 - 1) &amp; ""</f>
        <v/>
      </c>
      <c r="E236" s="20" t="str">
        <f ca="1">OFFSET(データ!$B$3, 0, $F236 - 1) &amp; ""</f>
        <v/>
      </c>
      <c r="F236" s="1">
        <f t="shared" si="4"/>
        <v>234</v>
      </c>
      <c r="G236" s="1" t="str">
        <f ca="1" xml:space="preserve"> IF( D236 = "", "",
         IFERROR(VLOOKUP(D236, フィールドリスト[], COLUMN(フィールドリスト[Select用文字列]) - 1, FALSE), " , '' ")
       )</f>
        <v/>
      </c>
    </row>
    <row r="237" spans="4:7" hidden="1" outlineLevel="1" x14ac:dyDescent="0.35">
      <c r="D237" s="20" t="str">
        <f ca="1">OFFSET(データ!$B$2, 0, $F237 - 1) &amp; ""</f>
        <v/>
      </c>
      <c r="E237" s="20" t="str">
        <f ca="1">OFFSET(データ!$B$3, 0, $F237 - 1) &amp; ""</f>
        <v/>
      </c>
      <c r="F237" s="1">
        <f t="shared" si="4"/>
        <v>235</v>
      </c>
      <c r="G237" s="1" t="str">
        <f ca="1" xml:space="preserve"> IF( D237 = "", "",
         IFERROR(VLOOKUP(D237, フィールドリスト[], COLUMN(フィールドリスト[Select用文字列]) - 1, FALSE), " , '' ")
       )</f>
        <v/>
      </c>
    </row>
    <row r="238" spans="4:7" hidden="1" outlineLevel="1" x14ac:dyDescent="0.35">
      <c r="D238" s="20" t="str">
        <f ca="1">OFFSET(データ!$B$2, 0, $F238 - 1) &amp; ""</f>
        <v/>
      </c>
      <c r="E238" s="20" t="str">
        <f ca="1">OFFSET(データ!$B$3, 0, $F238 - 1) &amp; ""</f>
        <v/>
      </c>
      <c r="F238" s="1">
        <f t="shared" si="4"/>
        <v>236</v>
      </c>
      <c r="G238" s="1" t="str">
        <f ca="1" xml:space="preserve"> IF( D238 = "", "",
         IFERROR(VLOOKUP(D238, フィールドリスト[], COLUMN(フィールドリスト[Select用文字列]) - 1, FALSE), " , '' ")
       )</f>
        <v/>
      </c>
    </row>
    <row r="239" spans="4:7" hidden="1" outlineLevel="1" x14ac:dyDescent="0.35">
      <c r="D239" s="20" t="str">
        <f ca="1">OFFSET(データ!$B$2, 0, $F239 - 1) &amp; ""</f>
        <v/>
      </c>
      <c r="E239" s="20" t="str">
        <f ca="1">OFFSET(データ!$B$3, 0, $F239 - 1) &amp; ""</f>
        <v/>
      </c>
      <c r="F239" s="1">
        <f t="shared" si="4"/>
        <v>237</v>
      </c>
      <c r="G239" s="1" t="str">
        <f ca="1" xml:space="preserve"> IF( D239 = "", "",
         IFERROR(VLOOKUP(D239, フィールドリスト[], COLUMN(フィールドリスト[Select用文字列]) - 1, FALSE), " , '' ")
       )</f>
        <v/>
      </c>
    </row>
    <row r="240" spans="4:7" hidden="1" outlineLevel="1" x14ac:dyDescent="0.35">
      <c r="D240" s="20" t="str">
        <f ca="1">OFFSET(データ!$B$2, 0, $F240 - 1) &amp; ""</f>
        <v/>
      </c>
      <c r="E240" s="20" t="str">
        <f ca="1">OFFSET(データ!$B$3, 0, $F240 - 1) &amp; ""</f>
        <v/>
      </c>
      <c r="F240" s="1">
        <f t="shared" si="4"/>
        <v>238</v>
      </c>
      <c r="G240" s="1" t="str">
        <f ca="1" xml:space="preserve"> IF( D240 = "", "",
         IFERROR(VLOOKUP(D240, フィールドリスト[], COLUMN(フィールドリスト[Select用文字列]) - 1, FALSE), " , '' ")
       )</f>
        <v/>
      </c>
    </row>
    <row r="241" spans="2:7" hidden="1" outlineLevel="1" x14ac:dyDescent="0.35">
      <c r="D241" s="20" t="str">
        <f ca="1">OFFSET(データ!$B$2, 0, $F241 - 1) &amp; ""</f>
        <v/>
      </c>
      <c r="E241" s="20" t="str">
        <f ca="1">OFFSET(データ!$B$3, 0, $F241 - 1) &amp; ""</f>
        <v/>
      </c>
      <c r="F241" s="1">
        <f t="shared" si="4"/>
        <v>239</v>
      </c>
      <c r="G241" s="1" t="str">
        <f ca="1" xml:space="preserve"> IF( D241 = "", "",
         IFERROR(VLOOKUP(D241, フィールドリスト[], COLUMN(フィールドリスト[Select用文字列]) - 1, FALSE), " , '' ")
       )</f>
        <v/>
      </c>
    </row>
    <row r="242" spans="2:7" hidden="1" outlineLevel="1" x14ac:dyDescent="0.35">
      <c r="D242" s="20" t="str">
        <f ca="1">OFFSET(データ!$B$2, 0, $F242 - 1) &amp; ""</f>
        <v/>
      </c>
      <c r="E242" s="20" t="str">
        <f ca="1">OFFSET(データ!$B$3, 0, $F242 - 1) &amp; ""</f>
        <v/>
      </c>
      <c r="F242" s="1">
        <f t="shared" si="4"/>
        <v>240</v>
      </c>
      <c r="G242" s="1" t="str">
        <f ca="1" xml:space="preserve"> IF( D242 = "", "",
         IFERROR(VLOOKUP(D242, フィールドリスト[], COLUMN(フィールドリスト[Select用文字列]) - 1, FALSE), " , '' ")
       )</f>
        <v/>
      </c>
    </row>
    <row r="243" spans="2:7" hidden="1" outlineLevel="1" x14ac:dyDescent="0.35">
      <c r="D243" s="20" t="str">
        <f ca="1">OFFSET(データ!$B$2, 0, $F243 - 1) &amp; ""</f>
        <v/>
      </c>
      <c r="E243" s="20" t="str">
        <f ca="1">OFFSET(データ!$B$3, 0, $F243 - 1) &amp; ""</f>
        <v/>
      </c>
      <c r="F243" s="1">
        <f t="shared" si="4"/>
        <v>241</v>
      </c>
      <c r="G243" s="1" t="str">
        <f ca="1" xml:space="preserve"> IF( D243 = "", "",
         IFERROR(VLOOKUP(D243, フィールドリスト[], COLUMN(フィールドリスト[Select用文字列]) - 1, FALSE), " , '' ")
       )</f>
        <v/>
      </c>
    </row>
    <row r="244" spans="2:7" hidden="1" outlineLevel="1" x14ac:dyDescent="0.35">
      <c r="D244" s="20" t="str">
        <f ca="1">OFFSET(データ!$B$2, 0, $F244 - 1) &amp; ""</f>
        <v/>
      </c>
      <c r="E244" s="20" t="str">
        <f ca="1">OFFSET(データ!$B$3, 0, $F244 - 1) &amp; ""</f>
        <v/>
      </c>
      <c r="F244" s="1">
        <f t="shared" si="4"/>
        <v>242</v>
      </c>
      <c r="G244" s="1" t="str">
        <f ca="1" xml:space="preserve"> IF( D244 = "", "",
         IFERROR(VLOOKUP(D244, フィールドリスト[], COLUMN(フィールドリスト[Select用文字列]) - 1, FALSE), " , '' ")
       )</f>
        <v/>
      </c>
    </row>
    <row r="245" spans="2:7" hidden="1" outlineLevel="1" x14ac:dyDescent="0.35">
      <c r="D245" s="20" t="str">
        <f ca="1">OFFSET(データ!$B$2, 0, $F245 - 1) &amp; ""</f>
        <v/>
      </c>
      <c r="E245" s="20" t="str">
        <f ca="1">OFFSET(データ!$B$3, 0, $F245 - 1) &amp; ""</f>
        <v/>
      </c>
      <c r="F245" s="1">
        <f t="shared" si="4"/>
        <v>243</v>
      </c>
      <c r="G245" s="1" t="str">
        <f ca="1" xml:space="preserve"> IF( D245 = "", "",
         IFERROR(VLOOKUP(D245, フィールドリスト[], COLUMN(フィールドリスト[Select用文字列]) - 1, FALSE), " , '' ")
       )</f>
        <v/>
      </c>
    </row>
    <row r="246" spans="2:7" collapsed="1" x14ac:dyDescent="0.35">
      <c r="D246" s="20" t="str">
        <f ca="1">OFFSET(データ!$B$2, 0, $F246 - 1) &amp; ""</f>
        <v/>
      </c>
      <c r="E246" s="20" t="str">
        <f ca="1">OFFSET(データ!$B$3, 0, $F246 - 1) &amp; ""</f>
        <v/>
      </c>
      <c r="F246" s="1">
        <v>244</v>
      </c>
      <c r="G246" s="1" t="str">
        <f ca="1" xml:space="preserve"> IF( D246 = "", "",
         IFERROR(VLOOKUP(D246, フィールドリスト[], COLUMN(フィールドリスト[Select用文字列]) - 1, FALSE), " , '' ")
       )</f>
        <v/>
      </c>
    </row>
    <row r="247" spans="2:7" x14ac:dyDescent="0.35">
      <c r="G247" s="1" t="s">
        <v>8</v>
      </c>
    </row>
    <row r="248" spans="2:7" x14ac:dyDescent="0.35">
      <c r="G248" s="1" t="s">
        <v>20</v>
      </c>
    </row>
    <row r="249" spans="2:7" x14ac:dyDescent="0.35">
      <c r="G249" s="1" t="s">
        <v>0</v>
      </c>
    </row>
    <row r="250" spans="2:7" x14ac:dyDescent="0.35">
      <c r="G250" s="1" t="s">
        <v>1</v>
      </c>
    </row>
    <row r="251" spans="2:7" x14ac:dyDescent="0.35">
      <c r="G251" s="1" t="s">
        <v>33</v>
      </c>
    </row>
    <row r="252" spans="2:7" x14ac:dyDescent="0.35">
      <c r="G252" s="1" t="s">
        <v>6</v>
      </c>
    </row>
    <row r="253" spans="2:7" x14ac:dyDescent="0.35">
      <c r="B253" s="1" t="s">
        <v>23</v>
      </c>
      <c r="G253" s="1" t="s">
        <v>26</v>
      </c>
    </row>
    <row r="254" spans="2:7" x14ac:dyDescent="0.35">
      <c r="B254" s="2" t="s">
        <v>25</v>
      </c>
      <c r="C254" s="2" t="s">
        <v>936</v>
      </c>
      <c r="D254" s="5"/>
      <c r="E254" s="5"/>
      <c r="F254" s="5"/>
      <c r="G254" s="2" t="str">
        <f>IF(サンプルグループCD &lt;&gt; "", "   and SMGCD = '" &amp; サンプルグループCD &amp; "'", "")</f>
        <v xml:space="preserve">   and SMGCD = 'WH'</v>
      </c>
    </row>
    <row r="255" spans="2:7" x14ac:dyDescent="0.35">
      <c r="B255" s="2" t="s">
        <v>2</v>
      </c>
      <c r="C255" s="3"/>
      <c r="D255" s="16"/>
      <c r="E255" s="16"/>
      <c r="F255" s="5"/>
      <c r="G255" s="2" t="str">
        <f>IF(JOB番号 &lt;&gt; "", "   and (SMPINF01 like '" &amp; JOB番号 &amp; "' or SMPINF02 like '" &amp; JOB番号 &amp; "')", "")</f>
        <v/>
      </c>
    </row>
    <row r="256" spans="2:7" x14ac:dyDescent="0.35">
      <c r="B256" s="2" t="s">
        <v>3</v>
      </c>
      <c r="C256" s="3" t="s">
        <v>992</v>
      </c>
      <c r="D256" s="15"/>
      <c r="E256" s="15"/>
      <c r="F256" s="5"/>
      <c r="G256" s="2" t="str">
        <f>IF(サンプル採取日FROM &lt;&gt; "", "   and SMPDT &gt;= '" &amp; サンプル採取日FROM &amp; "0000'", "")</f>
        <v xml:space="preserve">   and SMPDT &gt;= '201201010000'</v>
      </c>
    </row>
    <row r="257" spans="2:7" x14ac:dyDescent="0.35">
      <c r="B257" s="2" t="s">
        <v>4</v>
      </c>
      <c r="C257" s="3" t="s">
        <v>993</v>
      </c>
      <c r="D257" s="15"/>
      <c r="E257" s="15"/>
      <c r="F257" s="5"/>
      <c r="G257" s="2" t="str">
        <f>IF(サンプル採取日TO &lt;&gt; "", "   and SMPDT &lt;= '" &amp; サンプル採取日TO &amp; "0000'", "")</f>
        <v xml:space="preserve">   and SMPDT &lt;= '201212310000'</v>
      </c>
    </row>
    <row r="258" spans="2:7" x14ac:dyDescent="0.35">
      <c r="B258" s="2" t="s">
        <v>5</v>
      </c>
      <c r="C258" s="4" t="s">
        <v>40</v>
      </c>
      <c r="D258" s="16"/>
      <c r="E258" s="16"/>
      <c r="F258" s="5"/>
      <c r="G258" s="2" t="str">
        <f>IF(サンプルCD &lt;&gt; "", "   and SMPCD in ('" &amp; サンプルCD &amp; ")", "")</f>
        <v/>
      </c>
    </row>
    <row r="259" spans="2:7" x14ac:dyDescent="0.35">
      <c r="D259" s="5"/>
      <c r="E259" s="5"/>
      <c r="F259" s="5"/>
      <c r="G259" s="1" t="s">
        <v>36</v>
      </c>
    </row>
    <row r="260" spans="2:7" x14ac:dyDescent="0.35">
      <c r="D260" s="5"/>
      <c r="E260" s="5"/>
      <c r="F260" s="5"/>
      <c r="G260" s="1" t="s">
        <v>928</v>
      </c>
    </row>
    <row r="261" spans="2:7" x14ac:dyDescent="0.35">
      <c r="D261" s="5"/>
      <c r="E261" s="5"/>
      <c r="F261" s="5"/>
      <c r="G261" s="1" t="s">
        <v>7</v>
      </c>
    </row>
    <row r="262" spans="2:7" x14ac:dyDescent="0.35">
      <c r="D262" s="5"/>
      <c r="E262" s="5"/>
      <c r="F262" s="5"/>
      <c r="G262" s="1" t="s">
        <v>9</v>
      </c>
    </row>
    <row r="263" spans="2:7" x14ac:dyDescent="0.35">
      <c r="D263" s="5"/>
      <c r="E263" s="5"/>
      <c r="F263" s="5"/>
      <c r="G263" s="1" t="s">
        <v>10</v>
      </c>
    </row>
    <row r="264" spans="2:7" x14ac:dyDescent="0.35">
      <c r="D264" s="5"/>
      <c r="E264" s="5"/>
      <c r="F264" s="5"/>
      <c r="G264" s="1" t="s">
        <v>11</v>
      </c>
    </row>
    <row r="265" spans="2:7" x14ac:dyDescent="0.35">
      <c r="D265" s="5"/>
      <c r="E265" s="5"/>
      <c r="F265" s="5"/>
      <c r="G265" s="1" t="s">
        <v>34</v>
      </c>
    </row>
    <row r="266" spans="2:7" x14ac:dyDescent="0.35">
      <c r="D266" s="5"/>
      <c r="E266" s="5"/>
      <c r="F266" s="5"/>
      <c r="G266" s="1" t="s">
        <v>6</v>
      </c>
    </row>
    <row r="267" spans="2:7" x14ac:dyDescent="0.35">
      <c r="B267" s="2" t="s">
        <v>12</v>
      </c>
      <c r="C267" s="52"/>
      <c r="D267" s="19"/>
      <c r="E267" s="19"/>
      <c r="F267" s="5"/>
      <c r="G267" s="2" t="str">
        <f>IF(ホルダCD &lt;&gt; "", "   and HLDCD in ('" &amp; ホルダCD &amp; ")", "")</f>
        <v/>
      </c>
    </row>
    <row r="268" spans="2:7" x14ac:dyDescent="0.35">
      <c r="D268" s="5"/>
      <c r="E268" s="5"/>
      <c r="F268" s="5"/>
      <c r="G268" s="1" t="s">
        <v>927</v>
      </c>
    </row>
    <row r="269" spans="2:7" x14ac:dyDescent="0.35">
      <c r="D269" s="5"/>
      <c r="E269" s="5"/>
      <c r="F269" s="5"/>
      <c r="G269" s="1" t="s">
        <v>929</v>
      </c>
    </row>
    <row r="270" spans="2:7" x14ac:dyDescent="0.35">
      <c r="D270" s="5"/>
      <c r="E270" s="5"/>
      <c r="F270" s="5"/>
      <c r="G270" s="1" t="s">
        <v>13</v>
      </c>
    </row>
    <row r="271" spans="2:7" x14ac:dyDescent="0.35">
      <c r="D271" s="5"/>
      <c r="E271" s="5"/>
      <c r="F271" s="5"/>
      <c r="G271" s="1" t="s">
        <v>14</v>
      </c>
    </row>
    <row r="272" spans="2:7" x14ac:dyDescent="0.35">
      <c r="D272" s="5"/>
      <c r="E272" s="5"/>
      <c r="F272" s="5"/>
      <c r="G272" s="1" t="s">
        <v>15</v>
      </c>
    </row>
    <row r="273" spans="2:7" x14ac:dyDescent="0.35">
      <c r="D273" s="5"/>
      <c r="E273" s="5"/>
      <c r="F273" s="5"/>
      <c r="G273" s="1" t="s">
        <v>16</v>
      </c>
    </row>
    <row r="274" spans="2:7" x14ac:dyDescent="0.35">
      <c r="D274" s="5"/>
      <c r="E274" s="5"/>
      <c r="F274" s="5"/>
      <c r="G274" s="1" t="s">
        <v>35</v>
      </c>
    </row>
    <row r="275" spans="2:7" x14ac:dyDescent="0.35">
      <c r="D275" s="5"/>
      <c r="E275" s="5"/>
      <c r="F275" s="5"/>
      <c r="G275" s="1" t="s">
        <v>17</v>
      </c>
    </row>
    <row r="276" spans="2:7" x14ac:dyDescent="0.35">
      <c r="B276" s="2" t="s">
        <v>18</v>
      </c>
      <c r="C276" s="52"/>
      <c r="D276" s="19"/>
      <c r="E276" s="19"/>
      <c r="F276" s="5"/>
      <c r="G276" s="2" t="str">
        <f>IF(試験項目CD &lt;&gt; "", "   and TSTCD in ('" &amp; 試験項目CD &amp; ")", "")</f>
        <v/>
      </c>
    </row>
    <row r="277" spans="2:7" x14ac:dyDescent="0.35">
      <c r="D277" s="5"/>
      <c r="E277" s="5"/>
      <c r="F277" s="5"/>
      <c r="G277" s="1" t="s">
        <v>926</v>
      </c>
    </row>
    <row r="278" spans="2:7" x14ac:dyDescent="0.35">
      <c r="F278" s="5"/>
      <c r="G278" s="1" t="s">
        <v>930</v>
      </c>
    </row>
    <row r="279" spans="2:7" x14ac:dyDescent="0.35">
      <c r="F279" s="5"/>
      <c r="G279" s="1" t="s">
        <v>931</v>
      </c>
    </row>
    <row r="280" spans="2:7" x14ac:dyDescent="0.35">
      <c r="F280" s="5"/>
      <c r="G280" s="1" t="s">
        <v>37</v>
      </c>
    </row>
    <row r="281" spans="2:7" x14ac:dyDescent="0.35">
      <c r="G281" s="1" t="s">
        <v>938</v>
      </c>
    </row>
    <row r="282" spans="2:7" x14ac:dyDescent="0.35">
      <c r="G282" s="1" t="s">
        <v>939</v>
      </c>
    </row>
    <row r="283" spans="2:7" x14ac:dyDescent="0.35">
      <c r="G283" s="1" t="s">
        <v>940</v>
      </c>
    </row>
    <row r="284" spans="2:7" x14ac:dyDescent="0.35">
      <c r="G284" s="1" t="s">
        <v>39</v>
      </c>
    </row>
    <row r="285" spans="2:7" x14ac:dyDescent="0.35">
      <c r="G285" s="1" t="s">
        <v>941</v>
      </c>
    </row>
    <row r="286" spans="2:7" x14ac:dyDescent="0.35">
      <c r="G286" s="1" t="s">
        <v>38</v>
      </c>
    </row>
    <row r="287" spans="2:7" x14ac:dyDescent="0.35">
      <c r="G287" s="1" t="s">
        <v>942</v>
      </c>
    </row>
    <row r="288" spans="2:7" x14ac:dyDescent="0.35">
      <c r="G288" s="1" t="s">
        <v>19</v>
      </c>
    </row>
    <row r="289" spans="7:7" x14ac:dyDescent="0.35">
      <c r="G289" s="1" t="s">
        <v>937</v>
      </c>
    </row>
    <row r="290" spans="7:7" x14ac:dyDescent="0.35">
      <c r="G290" s="1" t="s">
        <v>932</v>
      </c>
    </row>
    <row r="291" spans="7:7" x14ac:dyDescent="0.35">
      <c r="G291" s="1" t="s">
        <v>933</v>
      </c>
    </row>
    <row r="292" spans="7:7" x14ac:dyDescent="0.35">
      <c r="G292" s="1" t="s">
        <v>934</v>
      </c>
    </row>
  </sheetData>
  <phoneticPr fontId="13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tFieldList">
    <tabColor theme="0" tint="-0.499984740745262"/>
  </sheetPr>
  <dimension ref="B2:H226"/>
  <sheetViews>
    <sheetView workbookViewId="0"/>
  </sheetViews>
  <sheetFormatPr defaultColWidth="8.88671875" defaultRowHeight="15" x14ac:dyDescent="0.45"/>
  <cols>
    <col min="1" max="1" width="8.88671875" style="32"/>
    <col min="2" max="2" width="24" style="32" customWidth="1"/>
    <col min="3" max="3" width="5.77734375" style="32" customWidth="1"/>
    <col min="4" max="4" width="13.109375" style="32" customWidth="1"/>
    <col min="5" max="5" width="5.88671875" style="32" customWidth="1"/>
    <col min="6" max="6" width="22.44140625" style="32" customWidth="1"/>
    <col min="7" max="7" width="25" style="32" customWidth="1"/>
    <col min="8" max="8" width="24.44140625" style="32" customWidth="1"/>
    <col min="9" max="16384" width="8.88671875" style="32"/>
  </cols>
  <sheetData>
    <row r="2" spans="2:8" x14ac:dyDescent="0.45">
      <c r="B2" s="43" t="s">
        <v>521</v>
      </c>
      <c r="C2" s="34" t="s">
        <v>233</v>
      </c>
      <c r="D2" s="31" t="s">
        <v>231</v>
      </c>
      <c r="E2" s="31" t="s">
        <v>921</v>
      </c>
      <c r="F2" s="31" t="s">
        <v>943</v>
      </c>
      <c r="G2" s="37" t="s">
        <v>100</v>
      </c>
      <c r="H2" s="44" t="s">
        <v>746</v>
      </c>
    </row>
    <row r="3" spans="2:8" x14ac:dyDescent="0.45">
      <c r="B3" s="43" t="s">
        <v>522</v>
      </c>
      <c r="C3" s="35" t="s">
        <v>518</v>
      </c>
      <c r="D3" s="33" t="s">
        <v>232</v>
      </c>
      <c r="E3" s="33">
        <v>1</v>
      </c>
      <c r="F3" s="33" t="s">
        <v>101</v>
      </c>
      <c r="G3" s="36" t="s">
        <v>21</v>
      </c>
      <c r="H3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S.REQNO</v>
      </c>
    </row>
    <row r="4" spans="2:8" x14ac:dyDescent="0.45">
      <c r="B4" s="43" t="s">
        <v>523</v>
      </c>
      <c r="C4" s="35" t="s">
        <v>518</v>
      </c>
      <c r="D4" s="33" t="s">
        <v>232</v>
      </c>
      <c r="E4" s="33">
        <v>2</v>
      </c>
      <c r="F4" s="33" t="s">
        <v>102</v>
      </c>
      <c r="G4" s="36" t="s">
        <v>103</v>
      </c>
      <c r="H4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S.STATE</v>
      </c>
    </row>
    <row r="5" spans="2:8" x14ac:dyDescent="0.45">
      <c r="B5" s="43" t="s">
        <v>524</v>
      </c>
      <c r="C5" s="35" t="s">
        <v>518</v>
      </c>
      <c r="D5" s="33" t="s">
        <v>232</v>
      </c>
      <c r="E5" s="33">
        <v>3</v>
      </c>
      <c r="F5" s="33" t="s">
        <v>104</v>
      </c>
      <c r="G5" s="36" t="s">
        <v>105</v>
      </c>
      <c r="H5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S.STATEX</v>
      </c>
    </row>
    <row r="6" spans="2:8" x14ac:dyDescent="0.45">
      <c r="B6" s="43" t="s">
        <v>525</v>
      </c>
      <c r="C6" s="35" t="s">
        <v>518</v>
      </c>
      <c r="D6" s="33" t="s">
        <v>232</v>
      </c>
      <c r="E6" s="33">
        <v>4</v>
      </c>
      <c r="F6" s="33" t="s">
        <v>106</v>
      </c>
      <c r="G6" s="36" t="s">
        <v>107</v>
      </c>
      <c r="H6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S.SMGCD</v>
      </c>
    </row>
    <row r="7" spans="2:8" x14ac:dyDescent="0.45">
      <c r="B7" s="43" t="s">
        <v>526</v>
      </c>
      <c r="C7" s="35" t="s">
        <v>518</v>
      </c>
      <c r="D7" s="33" t="s">
        <v>232</v>
      </c>
      <c r="E7" s="33">
        <v>5</v>
      </c>
      <c r="F7" s="33" t="s">
        <v>108</v>
      </c>
      <c r="G7" s="36" t="s">
        <v>109</v>
      </c>
      <c r="H7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S.SMGNM</v>
      </c>
    </row>
    <row r="8" spans="2:8" x14ac:dyDescent="0.45">
      <c r="B8" s="43" t="s">
        <v>527</v>
      </c>
      <c r="C8" s="35" t="s">
        <v>518</v>
      </c>
      <c r="D8" s="33" t="s">
        <v>232</v>
      </c>
      <c r="E8" s="33">
        <v>6</v>
      </c>
      <c r="F8" s="33" t="s">
        <v>110</v>
      </c>
      <c r="G8" s="36" t="s">
        <v>111</v>
      </c>
      <c r="H8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S.SMPCD</v>
      </c>
    </row>
    <row r="9" spans="2:8" x14ac:dyDescent="0.45">
      <c r="B9" s="43" t="s">
        <v>528</v>
      </c>
      <c r="C9" s="35" t="s">
        <v>518</v>
      </c>
      <c r="D9" s="33" t="s">
        <v>232</v>
      </c>
      <c r="E9" s="33">
        <v>7</v>
      </c>
      <c r="F9" s="33" t="s">
        <v>112</v>
      </c>
      <c r="G9" s="36" t="s">
        <v>22</v>
      </c>
      <c r="H9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S.SMPNM</v>
      </c>
    </row>
    <row r="10" spans="2:8" x14ac:dyDescent="0.45">
      <c r="B10" s="43" t="s">
        <v>529</v>
      </c>
      <c r="C10" s="35" t="s">
        <v>518</v>
      </c>
      <c r="D10" s="33" t="s">
        <v>232</v>
      </c>
      <c r="E10" s="33">
        <v>8</v>
      </c>
      <c r="F10" s="33" t="s">
        <v>113</v>
      </c>
      <c r="G10" s="36" t="s">
        <v>114</v>
      </c>
      <c r="H10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S.SMPNO</v>
      </c>
    </row>
    <row r="11" spans="2:8" x14ac:dyDescent="0.45">
      <c r="B11" s="43" t="s">
        <v>530</v>
      </c>
      <c r="C11" s="35" t="s">
        <v>518</v>
      </c>
      <c r="D11" s="33" t="s">
        <v>232</v>
      </c>
      <c r="E11" s="33">
        <v>9</v>
      </c>
      <c r="F11" s="33" t="s">
        <v>115</v>
      </c>
      <c r="G11" s="36" t="s">
        <v>116</v>
      </c>
      <c r="H11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S.SMPLOCK</v>
      </c>
    </row>
    <row r="12" spans="2:8" x14ac:dyDescent="0.45">
      <c r="B12" s="43" t="s">
        <v>531</v>
      </c>
      <c r="C12" s="35" t="s">
        <v>518</v>
      </c>
      <c r="D12" s="33" t="s">
        <v>232</v>
      </c>
      <c r="E12" s="33">
        <v>10</v>
      </c>
      <c r="F12" s="33" t="s">
        <v>117</v>
      </c>
      <c r="G12" s="36" t="s">
        <v>118</v>
      </c>
      <c r="H12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S.SMPPRTY</v>
      </c>
    </row>
    <row r="13" spans="2:8" x14ac:dyDescent="0.45">
      <c r="B13" s="43" t="s">
        <v>532</v>
      </c>
      <c r="C13" s="35" t="s">
        <v>518</v>
      </c>
      <c r="D13" s="33" t="s">
        <v>232</v>
      </c>
      <c r="E13" s="33">
        <v>11</v>
      </c>
      <c r="F13" s="33" t="s">
        <v>119</v>
      </c>
      <c r="G13" s="36" t="s">
        <v>120</v>
      </c>
      <c r="H13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S.SMPDT</v>
      </c>
    </row>
    <row r="14" spans="2:8" x14ac:dyDescent="0.45">
      <c r="B14" s="43" t="s">
        <v>533</v>
      </c>
      <c r="C14" s="35" t="s">
        <v>518</v>
      </c>
      <c r="D14" s="33" t="s">
        <v>232</v>
      </c>
      <c r="E14" s="33">
        <v>12</v>
      </c>
      <c r="F14" s="33" t="s">
        <v>121</v>
      </c>
      <c r="G14" s="36" t="s">
        <v>122</v>
      </c>
      <c r="H14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S.REQDT</v>
      </c>
    </row>
    <row r="15" spans="2:8" x14ac:dyDescent="0.45">
      <c r="B15" s="43" t="s">
        <v>534</v>
      </c>
      <c r="C15" s="35" t="s">
        <v>518</v>
      </c>
      <c r="D15" s="33" t="s">
        <v>232</v>
      </c>
      <c r="E15" s="33">
        <v>13</v>
      </c>
      <c r="F15" s="33" t="s">
        <v>123</v>
      </c>
      <c r="G15" s="36" t="s">
        <v>124</v>
      </c>
      <c r="H15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S.REQAFFCD</v>
      </c>
    </row>
    <row r="16" spans="2:8" x14ac:dyDescent="0.45">
      <c r="B16" s="43" t="s">
        <v>535</v>
      </c>
      <c r="C16" s="35" t="s">
        <v>518</v>
      </c>
      <c r="D16" s="33" t="s">
        <v>232</v>
      </c>
      <c r="E16" s="33">
        <v>14</v>
      </c>
      <c r="F16" s="33" t="s">
        <v>125</v>
      </c>
      <c r="G16" s="36" t="s">
        <v>126</v>
      </c>
      <c r="H16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S.REQUSRCD</v>
      </c>
    </row>
    <row r="17" spans="2:8" x14ac:dyDescent="0.45">
      <c r="B17" s="43" t="s">
        <v>536</v>
      </c>
      <c r="C17" s="35" t="s">
        <v>518</v>
      </c>
      <c r="D17" s="33" t="s">
        <v>232</v>
      </c>
      <c r="E17" s="33">
        <v>15</v>
      </c>
      <c r="F17" s="33" t="s">
        <v>127</v>
      </c>
      <c r="G17" s="36" t="s">
        <v>128</v>
      </c>
      <c r="H17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S.REGDT</v>
      </c>
    </row>
    <row r="18" spans="2:8" x14ac:dyDescent="0.45">
      <c r="B18" s="43" t="s">
        <v>537</v>
      </c>
      <c r="C18" s="35" t="s">
        <v>518</v>
      </c>
      <c r="D18" s="33" t="s">
        <v>232</v>
      </c>
      <c r="E18" s="33">
        <v>16</v>
      </c>
      <c r="F18" s="33" t="s">
        <v>129</v>
      </c>
      <c r="G18" s="36" t="s">
        <v>130</v>
      </c>
      <c r="H18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S.REGUSRCD</v>
      </c>
    </row>
    <row r="19" spans="2:8" x14ac:dyDescent="0.45">
      <c r="B19" s="43" t="s">
        <v>538</v>
      </c>
      <c r="C19" s="35" t="s">
        <v>518</v>
      </c>
      <c r="D19" s="33" t="s">
        <v>232</v>
      </c>
      <c r="E19" s="33">
        <v>17</v>
      </c>
      <c r="F19" s="33" t="s">
        <v>131</v>
      </c>
      <c r="G19" s="36" t="s">
        <v>132</v>
      </c>
      <c r="H19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S.APRDT</v>
      </c>
    </row>
    <row r="20" spans="2:8" x14ac:dyDescent="0.45">
      <c r="B20" s="43" t="s">
        <v>539</v>
      </c>
      <c r="C20" s="35" t="s">
        <v>518</v>
      </c>
      <c r="D20" s="33" t="s">
        <v>232</v>
      </c>
      <c r="E20" s="33">
        <v>18</v>
      </c>
      <c r="F20" s="33" t="s">
        <v>133</v>
      </c>
      <c r="G20" s="36" t="s">
        <v>134</v>
      </c>
      <c r="H20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S.APRUSRCD</v>
      </c>
    </row>
    <row r="21" spans="2:8" x14ac:dyDescent="0.45">
      <c r="B21" s="43" t="s">
        <v>540</v>
      </c>
      <c r="C21" s="35" t="s">
        <v>518</v>
      </c>
      <c r="D21" s="33" t="s">
        <v>232</v>
      </c>
      <c r="E21" s="33">
        <v>19</v>
      </c>
      <c r="F21" s="33" t="s">
        <v>135</v>
      </c>
      <c r="G21" s="36" t="s">
        <v>136</v>
      </c>
      <c r="H21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S.KEEPDT</v>
      </c>
    </row>
    <row r="22" spans="2:8" x14ac:dyDescent="0.45">
      <c r="B22" s="43" t="s">
        <v>541</v>
      </c>
      <c r="C22" s="35" t="s">
        <v>518</v>
      </c>
      <c r="D22" s="33" t="s">
        <v>232</v>
      </c>
      <c r="E22" s="33">
        <v>20</v>
      </c>
      <c r="F22" s="33" t="s">
        <v>137</v>
      </c>
      <c r="G22" s="36" t="s">
        <v>138</v>
      </c>
      <c r="H22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S.SPCCD</v>
      </c>
    </row>
    <row r="23" spans="2:8" x14ac:dyDescent="0.45">
      <c r="B23" s="43" t="s">
        <v>542</v>
      </c>
      <c r="C23" s="35" t="s">
        <v>518</v>
      </c>
      <c r="D23" s="33" t="s">
        <v>232</v>
      </c>
      <c r="E23" s="33">
        <v>21</v>
      </c>
      <c r="F23" s="33" t="s">
        <v>139</v>
      </c>
      <c r="G23" s="36" t="s">
        <v>140</v>
      </c>
      <c r="H23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S.SPCDT</v>
      </c>
    </row>
    <row r="24" spans="2:8" x14ac:dyDescent="0.45">
      <c r="B24" s="43" t="s">
        <v>543</v>
      </c>
      <c r="C24" s="35" t="s">
        <v>518</v>
      </c>
      <c r="D24" s="33" t="s">
        <v>232</v>
      </c>
      <c r="E24" s="33">
        <v>22</v>
      </c>
      <c r="F24" s="33" t="s">
        <v>141</v>
      </c>
      <c r="G24" s="36" t="s">
        <v>142</v>
      </c>
      <c r="H24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S.OFFSPCF</v>
      </c>
    </row>
    <row r="25" spans="2:8" x14ac:dyDescent="0.45">
      <c r="B25" s="43" t="s">
        <v>544</v>
      </c>
      <c r="C25" s="35" t="s">
        <v>518</v>
      </c>
      <c r="D25" s="33" t="s">
        <v>232</v>
      </c>
      <c r="E25" s="33">
        <v>23</v>
      </c>
      <c r="F25" s="33" t="s">
        <v>143</v>
      </c>
      <c r="G25" s="36" t="s">
        <v>144</v>
      </c>
      <c r="H25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S.CUSCD</v>
      </c>
    </row>
    <row r="26" spans="2:8" x14ac:dyDescent="0.45">
      <c r="B26" s="43" t="s">
        <v>545</v>
      </c>
      <c r="C26" s="35" t="s">
        <v>518</v>
      </c>
      <c r="D26" s="33" t="s">
        <v>232</v>
      </c>
      <c r="E26" s="33">
        <v>24</v>
      </c>
      <c r="F26" s="33" t="s">
        <v>145</v>
      </c>
      <c r="G26" s="36" t="s">
        <v>146</v>
      </c>
      <c r="H26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S.CSPCCD</v>
      </c>
    </row>
    <row r="27" spans="2:8" x14ac:dyDescent="0.45">
      <c r="B27" s="43" t="s">
        <v>546</v>
      </c>
      <c r="C27" s="35" t="s">
        <v>518</v>
      </c>
      <c r="D27" s="33" t="s">
        <v>232</v>
      </c>
      <c r="E27" s="33">
        <v>25</v>
      </c>
      <c r="F27" s="33" t="s">
        <v>147</v>
      </c>
      <c r="G27" s="36" t="s">
        <v>148</v>
      </c>
      <c r="H27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S.CSPCDT</v>
      </c>
    </row>
    <row r="28" spans="2:8" x14ac:dyDescent="0.45">
      <c r="B28" s="43" t="s">
        <v>547</v>
      </c>
      <c r="C28" s="35" t="s">
        <v>518</v>
      </c>
      <c r="D28" s="33" t="s">
        <v>232</v>
      </c>
      <c r="E28" s="33">
        <v>26</v>
      </c>
      <c r="F28" s="33" t="s">
        <v>149</v>
      </c>
      <c r="G28" s="36" t="s">
        <v>150</v>
      </c>
      <c r="H28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S.PRTCD</v>
      </c>
    </row>
    <row r="29" spans="2:8" x14ac:dyDescent="0.45">
      <c r="B29" s="43" t="s">
        <v>548</v>
      </c>
      <c r="C29" s="35" t="s">
        <v>518</v>
      </c>
      <c r="D29" s="33" t="s">
        <v>232</v>
      </c>
      <c r="E29" s="33">
        <v>27</v>
      </c>
      <c r="F29" s="33" t="s">
        <v>151</v>
      </c>
      <c r="G29" s="36" t="s">
        <v>152</v>
      </c>
      <c r="H29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S.PRICE</v>
      </c>
    </row>
    <row r="30" spans="2:8" x14ac:dyDescent="0.45">
      <c r="B30" s="43" t="s">
        <v>549</v>
      </c>
      <c r="C30" s="35" t="s">
        <v>518</v>
      </c>
      <c r="D30" s="33" t="s">
        <v>232</v>
      </c>
      <c r="E30" s="33">
        <v>28</v>
      </c>
      <c r="F30" s="33" t="s">
        <v>153</v>
      </c>
      <c r="G30" s="36" t="s">
        <v>154</v>
      </c>
      <c r="H30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S.AUTCD</v>
      </c>
    </row>
    <row r="31" spans="2:8" x14ac:dyDescent="0.45">
      <c r="B31" s="43" t="s">
        <v>550</v>
      </c>
      <c r="C31" s="35" t="s">
        <v>518</v>
      </c>
      <c r="D31" s="33" t="s">
        <v>232</v>
      </c>
      <c r="E31" s="33">
        <v>29</v>
      </c>
      <c r="F31" s="33" t="s">
        <v>155</v>
      </c>
      <c r="G31" s="36" t="s">
        <v>156</v>
      </c>
      <c r="H31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S.SNDCD</v>
      </c>
    </row>
    <row r="32" spans="2:8" x14ac:dyDescent="0.45">
      <c r="B32" s="43" t="s">
        <v>551</v>
      </c>
      <c r="C32" s="35" t="s">
        <v>518</v>
      </c>
      <c r="D32" s="33" t="s">
        <v>232</v>
      </c>
      <c r="E32" s="33">
        <v>30</v>
      </c>
      <c r="F32" s="33" t="s">
        <v>157</v>
      </c>
      <c r="G32" s="36" t="s">
        <v>158</v>
      </c>
      <c r="H32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S.SMPATTR</v>
      </c>
    </row>
    <row r="33" spans="2:8" x14ac:dyDescent="0.45">
      <c r="B33" s="43" t="s">
        <v>552</v>
      </c>
      <c r="C33" s="35" t="s">
        <v>518</v>
      </c>
      <c r="D33" s="33" t="s">
        <v>232</v>
      </c>
      <c r="E33" s="33">
        <v>31</v>
      </c>
      <c r="F33" s="33" t="s">
        <v>159</v>
      </c>
      <c r="G33" s="36" t="s">
        <v>160</v>
      </c>
      <c r="H33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S.SMPATTRX</v>
      </c>
    </row>
    <row r="34" spans="2:8" x14ac:dyDescent="0.45">
      <c r="B34" s="43" t="s">
        <v>553</v>
      </c>
      <c r="C34" s="35" t="s">
        <v>518</v>
      </c>
      <c r="D34" s="33" t="s">
        <v>232</v>
      </c>
      <c r="E34" s="33">
        <v>32</v>
      </c>
      <c r="F34" s="33" t="s">
        <v>161</v>
      </c>
      <c r="G34" s="36" t="s">
        <v>436</v>
      </c>
      <c r="H34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S.SMPINF01</v>
      </c>
    </row>
    <row r="35" spans="2:8" x14ac:dyDescent="0.45">
      <c r="B35" s="43" t="s">
        <v>554</v>
      </c>
      <c r="C35" s="35" t="s">
        <v>518</v>
      </c>
      <c r="D35" s="33" t="s">
        <v>232</v>
      </c>
      <c r="E35" s="33">
        <v>33</v>
      </c>
      <c r="F35" s="33" t="s">
        <v>162</v>
      </c>
      <c r="G35" s="36" t="s">
        <v>437</v>
      </c>
      <c r="H35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S.SMPINF02</v>
      </c>
    </row>
    <row r="36" spans="2:8" x14ac:dyDescent="0.45">
      <c r="B36" s="43" t="s">
        <v>555</v>
      </c>
      <c r="C36" s="35" t="s">
        <v>518</v>
      </c>
      <c r="D36" s="33" t="s">
        <v>232</v>
      </c>
      <c r="E36" s="33">
        <v>34</v>
      </c>
      <c r="F36" s="33" t="s">
        <v>163</v>
      </c>
      <c r="G36" s="36" t="s">
        <v>438</v>
      </c>
      <c r="H36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S.SMPINF03</v>
      </c>
    </row>
    <row r="37" spans="2:8" x14ac:dyDescent="0.45">
      <c r="B37" s="43" t="s">
        <v>556</v>
      </c>
      <c r="C37" s="35" t="s">
        <v>518</v>
      </c>
      <c r="D37" s="33" t="s">
        <v>232</v>
      </c>
      <c r="E37" s="33">
        <v>35</v>
      </c>
      <c r="F37" s="33" t="s">
        <v>164</v>
      </c>
      <c r="G37" s="36" t="s">
        <v>439</v>
      </c>
      <c r="H37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S.SMPINF04</v>
      </c>
    </row>
    <row r="38" spans="2:8" x14ac:dyDescent="0.45">
      <c r="B38" s="43" t="s">
        <v>557</v>
      </c>
      <c r="C38" s="35" t="s">
        <v>518</v>
      </c>
      <c r="D38" s="33" t="s">
        <v>232</v>
      </c>
      <c r="E38" s="33">
        <v>36</v>
      </c>
      <c r="F38" s="33" t="s">
        <v>165</v>
      </c>
      <c r="G38" s="36" t="s">
        <v>440</v>
      </c>
      <c r="H38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S.SMPINF05</v>
      </c>
    </row>
    <row r="39" spans="2:8" x14ac:dyDescent="0.45">
      <c r="B39" s="43" t="s">
        <v>558</v>
      </c>
      <c r="C39" s="35" t="s">
        <v>518</v>
      </c>
      <c r="D39" s="33" t="s">
        <v>232</v>
      </c>
      <c r="E39" s="33">
        <v>37</v>
      </c>
      <c r="F39" s="33" t="s">
        <v>166</v>
      </c>
      <c r="G39" s="36" t="s">
        <v>441</v>
      </c>
      <c r="H39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S.SMPINF06</v>
      </c>
    </row>
    <row r="40" spans="2:8" x14ac:dyDescent="0.45">
      <c r="B40" s="43" t="s">
        <v>559</v>
      </c>
      <c r="C40" s="35" t="s">
        <v>518</v>
      </c>
      <c r="D40" s="33" t="s">
        <v>232</v>
      </c>
      <c r="E40" s="33">
        <v>38</v>
      </c>
      <c r="F40" s="33" t="s">
        <v>167</v>
      </c>
      <c r="G40" s="36" t="s">
        <v>442</v>
      </c>
      <c r="H40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S.SMPINF07</v>
      </c>
    </row>
    <row r="41" spans="2:8" x14ac:dyDescent="0.45">
      <c r="B41" s="43" t="s">
        <v>560</v>
      </c>
      <c r="C41" s="35" t="s">
        <v>518</v>
      </c>
      <c r="D41" s="33" t="s">
        <v>232</v>
      </c>
      <c r="E41" s="33">
        <v>39</v>
      </c>
      <c r="F41" s="33" t="s">
        <v>168</v>
      </c>
      <c r="G41" s="36" t="s">
        <v>443</v>
      </c>
      <c r="H41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S.SMPINF08</v>
      </c>
    </row>
    <row r="42" spans="2:8" x14ac:dyDescent="0.45">
      <c r="B42" s="43" t="s">
        <v>561</v>
      </c>
      <c r="C42" s="35" t="s">
        <v>518</v>
      </c>
      <c r="D42" s="33" t="s">
        <v>232</v>
      </c>
      <c r="E42" s="33">
        <v>40</v>
      </c>
      <c r="F42" s="33" t="s">
        <v>169</v>
      </c>
      <c r="G42" s="36" t="s">
        <v>444</v>
      </c>
      <c r="H42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S.SMPINF09</v>
      </c>
    </row>
    <row r="43" spans="2:8" x14ac:dyDescent="0.45">
      <c r="B43" s="43" t="s">
        <v>562</v>
      </c>
      <c r="C43" s="35" t="s">
        <v>518</v>
      </c>
      <c r="D43" s="33" t="s">
        <v>232</v>
      </c>
      <c r="E43" s="33">
        <v>41</v>
      </c>
      <c r="F43" s="33" t="s">
        <v>170</v>
      </c>
      <c r="G43" s="36" t="s">
        <v>445</v>
      </c>
      <c r="H43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S.SMPINF10</v>
      </c>
    </row>
    <row r="44" spans="2:8" x14ac:dyDescent="0.45">
      <c r="B44" s="43" t="s">
        <v>563</v>
      </c>
      <c r="C44" s="35" t="s">
        <v>518</v>
      </c>
      <c r="D44" s="33" t="s">
        <v>232</v>
      </c>
      <c r="E44" s="33">
        <v>42</v>
      </c>
      <c r="F44" s="33" t="s">
        <v>171</v>
      </c>
      <c r="G44" s="36" t="s">
        <v>446</v>
      </c>
      <c r="H44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S.SMPINF11</v>
      </c>
    </row>
    <row r="45" spans="2:8" x14ac:dyDescent="0.45">
      <c r="B45" s="43" t="s">
        <v>564</v>
      </c>
      <c r="C45" s="35" t="s">
        <v>518</v>
      </c>
      <c r="D45" s="33" t="s">
        <v>232</v>
      </c>
      <c r="E45" s="33">
        <v>43</v>
      </c>
      <c r="F45" s="33" t="s">
        <v>172</v>
      </c>
      <c r="G45" s="36" t="s">
        <v>447</v>
      </c>
      <c r="H45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S.SMPINF12</v>
      </c>
    </row>
    <row r="46" spans="2:8" x14ac:dyDescent="0.45">
      <c r="B46" s="43" t="s">
        <v>565</v>
      </c>
      <c r="C46" s="35" t="s">
        <v>518</v>
      </c>
      <c r="D46" s="33" t="s">
        <v>232</v>
      </c>
      <c r="E46" s="33">
        <v>44</v>
      </c>
      <c r="F46" s="33" t="s">
        <v>173</v>
      </c>
      <c r="G46" s="36" t="s">
        <v>448</v>
      </c>
      <c r="H46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S.SMPINF13</v>
      </c>
    </row>
    <row r="47" spans="2:8" x14ac:dyDescent="0.45">
      <c r="B47" s="43" t="s">
        <v>566</v>
      </c>
      <c r="C47" s="35" t="s">
        <v>518</v>
      </c>
      <c r="D47" s="33" t="s">
        <v>232</v>
      </c>
      <c r="E47" s="33">
        <v>45</v>
      </c>
      <c r="F47" s="33" t="s">
        <v>174</v>
      </c>
      <c r="G47" s="36" t="s">
        <v>94</v>
      </c>
      <c r="H47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S.SMPINF14</v>
      </c>
    </row>
    <row r="48" spans="2:8" x14ac:dyDescent="0.45">
      <c r="B48" s="43" t="s">
        <v>567</v>
      </c>
      <c r="C48" s="35" t="s">
        <v>518</v>
      </c>
      <c r="D48" s="33" t="s">
        <v>232</v>
      </c>
      <c r="E48" s="33">
        <v>46</v>
      </c>
      <c r="F48" s="33" t="s">
        <v>175</v>
      </c>
      <c r="G48" s="36" t="s">
        <v>449</v>
      </c>
      <c r="H48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S.SMPINF15</v>
      </c>
    </row>
    <row r="49" spans="2:8" x14ac:dyDescent="0.45">
      <c r="B49" s="43" t="s">
        <v>568</v>
      </c>
      <c r="C49" s="35" t="s">
        <v>518</v>
      </c>
      <c r="D49" s="33" t="s">
        <v>232</v>
      </c>
      <c r="E49" s="33">
        <v>47</v>
      </c>
      <c r="F49" s="33" t="s">
        <v>176</v>
      </c>
      <c r="G49" s="36" t="s">
        <v>450</v>
      </c>
      <c r="H49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S.SMPINF16</v>
      </c>
    </row>
    <row r="50" spans="2:8" x14ac:dyDescent="0.45">
      <c r="B50" s="43" t="s">
        <v>569</v>
      </c>
      <c r="C50" s="35" t="s">
        <v>518</v>
      </c>
      <c r="D50" s="33" t="s">
        <v>232</v>
      </c>
      <c r="E50" s="33">
        <v>48</v>
      </c>
      <c r="F50" s="33" t="s">
        <v>177</v>
      </c>
      <c r="G50" s="36" t="s">
        <v>451</v>
      </c>
      <c r="H50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S.SMPINF17</v>
      </c>
    </row>
    <row r="51" spans="2:8" x14ac:dyDescent="0.45">
      <c r="B51" s="43" t="s">
        <v>570</v>
      </c>
      <c r="C51" s="35" t="s">
        <v>518</v>
      </c>
      <c r="D51" s="33" t="s">
        <v>232</v>
      </c>
      <c r="E51" s="33">
        <v>49</v>
      </c>
      <c r="F51" s="33" t="s">
        <v>178</v>
      </c>
      <c r="G51" s="36" t="s">
        <v>452</v>
      </c>
      <c r="H51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S.SMPINF18</v>
      </c>
    </row>
    <row r="52" spans="2:8" x14ac:dyDescent="0.45">
      <c r="B52" s="43" t="s">
        <v>571</v>
      </c>
      <c r="C52" s="35" t="s">
        <v>518</v>
      </c>
      <c r="D52" s="33" t="s">
        <v>232</v>
      </c>
      <c r="E52" s="33">
        <v>50</v>
      </c>
      <c r="F52" s="33" t="s">
        <v>179</v>
      </c>
      <c r="G52" s="36" t="s">
        <v>453</v>
      </c>
      <c r="H52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S.SMPINF19</v>
      </c>
    </row>
    <row r="53" spans="2:8" x14ac:dyDescent="0.45">
      <c r="B53" s="43" t="s">
        <v>572</v>
      </c>
      <c r="C53" s="35" t="s">
        <v>518</v>
      </c>
      <c r="D53" s="33" t="s">
        <v>232</v>
      </c>
      <c r="E53" s="33">
        <v>51</v>
      </c>
      <c r="F53" s="33" t="s">
        <v>180</v>
      </c>
      <c r="G53" s="36" t="s">
        <v>454</v>
      </c>
      <c r="H53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S.SMPINF20</v>
      </c>
    </row>
    <row r="54" spans="2:8" x14ac:dyDescent="0.45">
      <c r="B54" s="43" t="s">
        <v>573</v>
      </c>
      <c r="C54" s="35" t="s">
        <v>518</v>
      </c>
      <c r="D54" s="33" t="s">
        <v>232</v>
      </c>
      <c r="E54" s="33">
        <v>52</v>
      </c>
      <c r="F54" s="33" t="s">
        <v>181</v>
      </c>
      <c r="G54" s="36" t="s">
        <v>455</v>
      </c>
      <c r="H54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S.SMPINF21</v>
      </c>
    </row>
    <row r="55" spans="2:8" x14ac:dyDescent="0.45">
      <c r="B55" s="43" t="s">
        <v>574</v>
      </c>
      <c r="C55" s="35" t="s">
        <v>518</v>
      </c>
      <c r="D55" s="33" t="s">
        <v>232</v>
      </c>
      <c r="E55" s="33">
        <v>53</v>
      </c>
      <c r="F55" s="33" t="s">
        <v>182</v>
      </c>
      <c r="G55" s="36" t="s">
        <v>456</v>
      </c>
      <c r="H55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S.SMPINF22</v>
      </c>
    </row>
    <row r="56" spans="2:8" x14ac:dyDescent="0.45">
      <c r="B56" s="43" t="s">
        <v>575</v>
      </c>
      <c r="C56" s="35" t="s">
        <v>518</v>
      </c>
      <c r="D56" s="33" t="s">
        <v>232</v>
      </c>
      <c r="E56" s="33">
        <v>54</v>
      </c>
      <c r="F56" s="33" t="s">
        <v>183</v>
      </c>
      <c r="G56" s="36" t="s">
        <v>457</v>
      </c>
      <c r="H56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S.SMPINF23</v>
      </c>
    </row>
    <row r="57" spans="2:8" x14ac:dyDescent="0.45">
      <c r="B57" s="43" t="s">
        <v>576</v>
      </c>
      <c r="C57" s="35" t="s">
        <v>518</v>
      </c>
      <c r="D57" s="33" t="s">
        <v>232</v>
      </c>
      <c r="E57" s="33">
        <v>55</v>
      </c>
      <c r="F57" s="33" t="s">
        <v>184</v>
      </c>
      <c r="G57" s="36" t="s">
        <v>458</v>
      </c>
      <c r="H57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S.SMPINF24</v>
      </c>
    </row>
    <row r="58" spans="2:8" x14ac:dyDescent="0.45">
      <c r="B58" s="43" t="s">
        <v>577</v>
      </c>
      <c r="C58" s="35" t="s">
        <v>518</v>
      </c>
      <c r="D58" s="33" t="s">
        <v>232</v>
      </c>
      <c r="E58" s="33">
        <v>56</v>
      </c>
      <c r="F58" s="33" t="s">
        <v>185</v>
      </c>
      <c r="G58" s="36" t="s">
        <v>459</v>
      </c>
      <c r="H58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S.SMPINF25</v>
      </c>
    </row>
    <row r="59" spans="2:8" x14ac:dyDescent="0.45">
      <c r="B59" s="43" t="s">
        <v>578</v>
      </c>
      <c r="C59" s="35" t="s">
        <v>518</v>
      </c>
      <c r="D59" s="33" t="s">
        <v>232</v>
      </c>
      <c r="E59" s="33">
        <v>57</v>
      </c>
      <c r="F59" s="33" t="s">
        <v>186</v>
      </c>
      <c r="G59" s="36" t="s">
        <v>460</v>
      </c>
      <c r="H59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S.SMPINF26</v>
      </c>
    </row>
    <row r="60" spans="2:8" x14ac:dyDescent="0.45">
      <c r="B60" s="43" t="s">
        <v>579</v>
      </c>
      <c r="C60" s="35" t="s">
        <v>518</v>
      </c>
      <c r="D60" s="33" t="s">
        <v>232</v>
      </c>
      <c r="E60" s="33">
        <v>58</v>
      </c>
      <c r="F60" s="33" t="s">
        <v>187</v>
      </c>
      <c r="G60" s="36" t="s">
        <v>461</v>
      </c>
      <c r="H60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S.SMPINF27</v>
      </c>
    </row>
    <row r="61" spans="2:8" x14ac:dyDescent="0.45">
      <c r="B61" s="43" t="s">
        <v>580</v>
      </c>
      <c r="C61" s="35" t="s">
        <v>518</v>
      </c>
      <c r="D61" s="33" t="s">
        <v>232</v>
      </c>
      <c r="E61" s="33">
        <v>59</v>
      </c>
      <c r="F61" s="33" t="s">
        <v>188</v>
      </c>
      <c r="G61" s="36" t="s">
        <v>462</v>
      </c>
      <c r="H61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S.SMPINF28</v>
      </c>
    </row>
    <row r="62" spans="2:8" x14ac:dyDescent="0.45">
      <c r="B62" s="43" t="s">
        <v>581</v>
      </c>
      <c r="C62" s="35" t="s">
        <v>518</v>
      </c>
      <c r="D62" s="33" t="s">
        <v>232</v>
      </c>
      <c r="E62" s="33">
        <v>60</v>
      </c>
      <c r="F62" s="33" t="s">
        <v>189</v>
      </c>
      <c r="G62" s="36" t="s">
        <v>463</v>
      </c>
      <c r="H62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S.SMPINF29</v>
      </c>
    </row>
    <row r="63" spans="2:8" x14ac:dyDescent="0.45">
      <c r="B63" s="43" t="s">
        <v>582</v>
      </c>
      <c r="C63" s="35" t="s">
        <v>518</v>
      </c>
      <c r="D63" s="33" t="s">
        <v>232</v>
      </c>
      <c r="E63" s="33">
        <v>61</v>
      </c>
      <c r="F63" s="33" t="s">
        <v>190</v>
      </c>
      <c r="G63" s="36" t="s">
        <v>464</v>
      </c>
      <c r="H63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S.SMPINF30</v>
      </c>
    </row>
    <row r="64" spans="2:8" x14ac:dyDescent="0.45">
      <c r="B64" s="43" t="s">
        <v>583</v>
      </c>
      <c r="C64" s="35" t="s">
        <v>518</v>
      </c>
      <c r="D64" s="33" t="s">
        <v>232</v>
      </c>
      <c r="E64" s="33">
        <v>62</v>
      </c>
      <c r="F64" s="33" t="s">
        <v>191</v>
      </c>
      <c r="G64" s="36" t="s">
        <v>465</v>
      </c>
      <c r="H64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S.SMPINF31</v>
      </c>
    </row>
    <row r="65" spans="2:8" x14ac:dyDescent="0.45">
      <c r="B65" s="43" t="s">
        <v>584</v>
      </c>
      <c r="C65" s="35" t="s">
        <v>518</v>
      </c>
      <c r="D65" s="33" t="s">
        <v>232</v>
      </c>
      <c r="E65" s="33">
        <v>63</v>
      </c>
      <c r="F65" s="33" t="s">
        <v>192</v>
      </c>
      <c r="G65" s="36" t="s">
        <v>466</v>
      </c>
      <c r="H65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S.SMPINF32</v>
      </c>
    </row>
    <row r="66" spans="2:8" x14ac:dyDescent="0.45">
      <c r="B66" s="43" t="s">
        <v>585</v>
      </c>
      <c r="C66" s="35" t="s">
        <v>518</v>
      </c>
      <c r="D66" s="33" t="s">
        <v>232</v>
      </c>
      <c r="E66" s="33">
        <v>64</v>
      </c>
      <c r="F66" s="33" t="s">
        <v>193</v>
      </c>
      <c r="G66" s="36" t="s">
        <v>467</v>
      </c>
      <c r="H66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S.SMPINF33</v>
      </c>
    </row>
    <row r="67" spans="2:8" x14ac:dyDescent="0.45">
      <c r="B67" s="43" t="s">
        <v>586</v>
      </c>
      <c r="C67" s="35" t="s">
        <v>518</v>
      </c>
      <c r="D67" s="33" t="s">
        <v>232</v>
      </c>
      <c r="E67" s="33">
        <v>65</v>
      </c>
      <c r="F67" s="33" t="s">
        <v>194</v>
      </c>
      <c r="G67" s="36" t="s">
        <v>468</v>
      </c>
      <c r="H67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S.SMPINF34</v>
      </c>
    </row>
    <row r="68" spans="2:8" x14ac:dyDescent="0.45">
      <c r="B68" s="43" t="s">
        <v>587</v>
      </c>
      <c r="C68" s="35" t="s">
        <v>518</v>
      </c>
      <c r="D68" s="33" t="s">
        <v>232</v>
      </c>
      <c r="E68" s="33">
        <v>66</v>
      </c>
      <c r="F68" s="33" t="s">
        <v>195</v>
      </c>
      <c r="G68" s="36" t="s">
        <v>469</v>
      </c>
      <c r="H68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S.SMPINF35</v>
      </c>
    </row>
    <row r="69" spans="2:8" x14ac:dyDescent="0.45">
      <c r="B69" s="43" t="s">
        <v>588</v>
      </c>
      <c r="C69" s="35" t="s">
        <v>518</v>
      </c>
      <c r="D69" s="33" t="s">
        <v>232</v>
      </c>
      <c r="E69" s="33">
        <v>67</v>
      </c>
      <c r="F69" s="33" t="s">
        <v>196</v>
      </c>
      <c r="G69" s="36" t="s">
        <v>470</v>
      </c>
      <c r="H69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S.SMPINF36</v>
      </c>
    </row>
    <row r="70" spans="2:8" x14ac:dyDescent="0.45">
      <c r="B70" s="43" t="s">
        <v>589</v>
      </c>
      <c r="C70" s="35" t="s">
        <v>518</v>
      </c>
      <c r="D70" s="33" t="s">
        <v>232</v>
      </c>
      <c r="E70" s="33">
        <v>68</v>
      </c>
      <c r="F70" s="33" t="s">
        <v>197</v>
      </c>
      <c r="G70" s="36" t="s">
        <v>471</v>
      </c>
      <c r="H70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S.SMPINF37</v>
      </c>
    </row>
    <row r="71" spans="2:8" x14ac:dyDescent="0.45">
      <c r="B71" s="43" t="s">
        <v>590</v>
      </c>
      <c r="C71" s="35" t="s">
        <v>518</v>
      </c>
      <c r="D71" s="33" t="s">
        <v>232</v>
      </c>
      <c r="E71" s="33">
        <v>72</v>
      </c>
      <c r="F71" s="33" t="s">
        <v>198</v>
      </c>
      <c r="G71" s="36" t="s">
        <v>472</v>
      </c>
      <c r="H71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S.SMPINF41</v>
      </c>
    </row>
    <row r="72" spans="2:8" x14ac:dyDescent="0.45">
      <c r="B72" s="43" t="s">
        <v>591</v>
      </c>
      <c r="C72" s="35" t="s">
        <v>518</v>
      </c>
      <c r="D72" s="33" t="s">
        <v>232</v>
      </c>
      <c r="E72" s="33">
        <v>74</v>
      </c>
      <c r="F72" s="33" t="s">
        <v>199</v>
      </c>
      <c r="G72" s="36" t="s">
        <v>473</v>
      </c>
      <c r="H72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S.SMPINF43</v>
      </c>
    </row>
    <row r="73" spans="2:8" x14ac:dyDescent="0.45">
      <c r="B73" s="43" t="s">
        <v>592</v>
      </c>
      <c r="C73" s="35" t="s">
        <v>518</v>
      </c>
      <c r="D73" s="33" t="s">
        <v>232</v>
      </c>
      <c r="E73" s="33">
        <v>76</v>
      </c>
      <c r="F73" s="33" t="s">
        <v>200</v>
      </c>
      <c r="G73" s="36" t="s">
        <v>474</v>
      </c>
      <c r="H73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S.SMPINF45</v>
      </c>
    </row>
    <row r="74" spans="2:8" x14ac:dyDescent="0.45">
      <c r="B74" s="43" t="s">
        <v>593</v>
      </c>
      <c r="C74" s="35" t="s">
        <v>518</v>
      </c>
      <c r="D74" s="33" t="s">
        <v>232</v>
      </c>
      <c r="E74" s="33">
        <v>77</v>
      </c>
      <c r="F74" s="33" t="s">
        <v>201</v>
      </c>
      <c r="G74" s="36" t="s">
        <v>475</v>
      </c>
      <c r="H74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S.SMPINF46</v>
      </c>
    </row>
    <row r="75" spans="2:8" x14ac:dyDescent="0.45">
      <c r="B75" s="43" t="s">
        <v>594</v>
      </c>
      <c r="C75" s="35" t="s">
        <v>518</v>
      </c>
      <c r="D75" s="33" t="s">
        <v>232</v>
      </c>
      <c r="E75" s="33">
        <v>78</v>
      </c>
      <c r="F75" s="33" t="s">
        <v>202</v>
      </c>
      <c r="G75" s="36" t="s">
        <v>476</v>
      </c>
      <c r="H75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S.SMPINF47</v>
      </c>
    </row>
    <row r="76" spans="2:8" x14ac:dyDescent="0.45">
      <c r="B76" s="43" t="s">
        <v>595</v>
      </c>
      <c r="C76" s="35" t="s">
        <v>518</v>
      </c>
      <c r="D76" s="33" t="s">
        <v>232</v>
      </c>
      <c r="E76" s="33">
        <v>79</v>
      </c>
      <c r="F76" s="33" t="s">
        <v>203</v>
      </c>
      <c r="G76" s="36" t="s">
        <v>477</v>
      </c>
      <c r="H76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S.SMPINF48</v>
      </c>
    </row>
    <row r="77" spans="2:8" x14ac:dyDescent="0.45">
      <c r="B77" s="43" t="s">
        <v>596</v>
      </c>
      <c r="C77" s="35" t="s">
        <v>518</v>
      </c>
      <c r="D77" s="33" t="s">
        <v>232</v>
      </c>
      <c r="E77" s="33">
        <v>80</v>
      </c>
      <c r="F77" s="33" t="s">
        <v>204</v>
      </c>
      <c r="G77" s="36" t="s">
        <v>478</v>
      </c>
      <c r="H77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S.SMPINF49</v>
      </c>
    </row>
    <row r="78" spans="2:8" x14ac:dyDescent="0.45">
      <c r="B78" s="43" t="s">
        <v>597</v>
      </c>
      <c r="C78" s="35" t="s">
        <v>518</v>
      </c>
      <c r="D78" s="33" t="s">
        <v>232</v>
      </c>
      <c r="E78" s="33">
        <v>81</v>
      </c>
      <c r="F78" s="33" t="s">
        <v>205</v>
      </c>
      <c r="G78" s="36" t="s">
        <v>479</v>
      </c>
      <c r="H78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S.SMPINF50</v>
      </c>
    </row>
    <row r="79" spans="2:8" x14ac:dyDescent="0.45">
      <c r="B79" s="43" t="s">
        <v>598</v>
      </c>
      <c r="C79" s="35" t="s">
        <v>518</v>
      </c>
      <c r="D79" s="33" t="s">
        <v>232</v>
      </c>
      <c r="E79" s="33">
        <v>82</v>
      </c>
      <c r="F79" s="33" t="s">
        <v>206</v>
      </c>
      <c r="G79" s="36" t="s">
        <v>480</v>
      </c>
      <c r="H79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S.SMPINF51</v>
      </c>
    </row>
    <row r="80" spans="2:8" x14ac:dyDescent="0.45">
      <c r="B80" s="43" t="s">
        <v>599</v>
      </c>
      <c r="C80" s="35" t="s">
        <v>518</v>
      </c>
      <c r="D80" s="33" t="s">
        <v>232</v>
      </c>
      <c r="E80" s="33">
        <v>83</v>
      </c>
      <c r="F80" s="33" t="s">
        <v>207</v>
      </c>
      <c r="G80" s="36" t="s">
        <v>481</v>
      </c>
      <c r="H80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S.SMPINF52</v>
      </c>
    </row>
    <row r="81" spans="2:8" x14ac:dyDescent="0.45">
      <c r="B81" s="43" t="s">
        <v>600</v>
      </c>
      <c r="C81" s="35" t="s">
        <v>518</v>
      </c>
      <c r="D81" s="33" t="s">
        <v>232</v>
      </c>
      <c r="E81" s="33">
        <v>84</v>
      </c>
      <c r="F81" s="33" t="s">
        <v>208</v>
      </c>
      <c r="G81" s="36" t="s">
        <v>482</v>
      </c>
      <c r="H81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S.SMPINF53</v>
      </c>
    </row>
    <row r="82" spans="2:8" x14ac:dyDescent="0.45">
      <c r="B82" s="43" t="s">
        <v>601</v>
      </c>
      <c r="C82" s="35" t="s">
        <v>518</v>
      </c>
      <c r="D82" s="33" t="s">
        <v>232</v>
      </c>
      <c r="E82" s="33">
        <v>85</v>
      </c>
      <c r="F82" s="33" t="s">
        <v>209</v>
      </c>
      <c r="G82" s="36" t="s">
        <v>483</v>
      </c>
      <c r="H82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S.SMPINF54</v>
      </c>
    </row>
    <row r="83" spans="2:8" x14ac:dyDescent="0.45">
      <c r="B83" s="43" t="s">
        <v>602</v>
      </c>
      <c r="C83" s="35" t="s">
        <v>518</v>
      </c>
      <c r="D83" s="33" t="s">
        <v>232</v>
      </c>
      <c r="E83" s="33">
        <v>86</v>
      </c>
      <c r="F83" s="33" t="s">
        <v>210</v>
      </c>
      <c r="G83" s="36" t="s">
        <v>484</v>
      </c>
      <c r="H83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S.SMPINF55</v>
      </c>
    </row>
    <row r="84" spans="2:8" x14ac:dyDescent="0.45">
      <c r="B84" s="43" t="s">
        <v>603</v>
      </c>
      <c r="C84" s="35" t="s">
        <v>518</v>
      </c>
      <c r="D84" s="33" t="s">
        <v>232</v>
      </c>
      <c r="E84" s="33">
        <v>92</v>
      </c>
      <c r="F84" s="33" t="s">
        <v>211</v>
      </c>
      <c r="G84" s="36" t="s">
        <v>212</v>
      </c>
      <c r="H84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S.SMPINFX01</v>
      </c>
    </row>
    <row r="85" spans="2:8" x14ac:dyDescent="0.45">
      <c r="B85" s="43" t="s">
        <v>604</v>
      </c>
      <c r="C85" s="35" t="s">
        <v>518</v>
      </c>
      <c r="D85" s="33" t="s">
        <v>232</v>
      </c>
      <c r="E85" s="33">
        <v>93</v>
      </c>
      <c r="F85" s="33" t="s">
        <v>213</v>
      </c>
      <c r="G85" s="36" t="s">
        <v>214</v>
      </c>
      <c r="H85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S.SMPINFX02</v>
      </c>
    </row>
    <row r="86" spans="2:8" x14ac:dyDescent="0.45">
      <c r="B86" s="43" t="s">
        <v>605</v>
      </c>
      <c r="C86" s="35" t="s">
        <v>518</v>
      </c>
      <c r="D86" s="33" t="s">
        <v>232</v>
      </c>
      <c r="E86" s="33">
        <v>94</v>
      </c>
      <c r="F86" s="33" t="s">
        <v>215</v>
      </c>
      <c r="G86" s="36" t="s">
        <v>216</v>
      </c>
      <c r="H86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S.SMPINFX03</v>
      </c>
    </row>
    <row r="87" spans="2:8" x14ac:dyDescent="0.45">
      <c r="B87" s="43" t="s">
        <v>606</v>
      </c>
      <c r="C87" s="35" t="s">
        <v>518</v>
      </c>
      <c r="D87" s="33" t="s">
        <v>232</v>
      </c>
      <c r="E87" s="33">
        <v>95</v>
      </c>
      <c r="F87" s="33" t="s">
        <v>217</v>
      </c>
      <c r="G87" s="36" t="s">
        <v>218</v>
      </c>
      <c r="H87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S.SMPINFX04</v>
      </c>
    </row>
    <row r="88" spans="2:8" x14ac:dyDescent="0.45">
      <c r="B88" s="43" t="s">
        <v>607</v>
      </c>
      <c r="C88" s="35" t="s">
        <v>518</v>
      </c>
      <c r="D88" s="33" t="s">
        <v>232</v>
      </c>
      <c r="E88" s="33">
        <v>96</v>
      </c>
      <c r="F88" s="33" t="s">
        <v>219</v>
      </c>
      <c r="G88" s="36" t="s">
        <v>220</v>
      </c>
      <c r="H88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S.SMPINFX05</v>
      </c>
    </row>
    <row r="89" spans="2:8" x14ac:dyDescent="0.45">
      <c r="B89" s="43" t="s">
        <v>608</v>
      </c>
      <c r="C89" s="35" t="s">
        <v>518</v>
      </c>
      <c r="D89" s="33" t="s">
        <v>232</v>
      </c>
      <c r="E89" s="33">
        <v>97</v>
      </c>
      <c r="F89" s="33" t="s">
        <v>221</v>
      </c>
      <c r="G89" s="36" t="s">
        <v>222</v>
      </c>
      <c r="H89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S.SMPINFX06</v>
      </c>
    </row>
    <row r="90" spans="2:8" x14ac:dyDescent="0.45">
      <c r="B90" s="43" t="s">
        <v>609</v>
      </c>
      <c r="C90" s="35" t="s">
        <v>518</v>
      </c>
      <c r="D90" s="33" t="s">
        <v>232</v>
      </c>
      <c r="E90" s="33">
        <v>98</v>
      </c>
      <c r="F90" s="33" t="s">
        <v>223</v>
      </c>
      <c r="G90" s="36" t="s">
        <v>224</v>
      </c>
      <c r="H90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S.SMPINFX07</v>
      </c>
    </row>
    <row r="91" spans="2:8" x14ac:dyDescent="0.45">
      <c r="B91" s="43" t="s">
        <v>610</v>
      </c>
      <c r="C91" s="35" t="s">
        <v>518</v>
      </c>
      <c r="D91" s="33" t="s">
        <v>232</v>
      </c>
      <c r="E91" s="33">
        <v>99</v>
      </c>
      <c r="F91" s="33" t="s">
        <v>225</v>
      </c>
      <c r="G91" s="36" t="s">
        <v>226</v>
      </c>
      <c r="H91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S.SMPINFX08</v>
      </c>
    </row>
    <row r="92" spans="2:8" x14ac:dyDescent="0.45">
      <c r="B92" s="43" t="s">
        <v>611</v>
      </c>
      <c r="C92" s="35" t="s">
        <v>518</v>
      </c>
      <c r="D92" s="33" t="s">
        <v>232</v>
      </c>
      <c r="E92" s="33">
        <v>100</v>
      </c>
      <c r="F92" s="33" t="s">
        <v>485</v>
      </c>
      <c r="G92" s="36" t="s">
        <v>486</v>
      </c>
      <c r="H92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S.SMPINFX09</v>
      </c>
    </row>
    <row r="93" spans="2:8" x14ac:dyDescent="0.45">
      <c r="B93" s="43" t="s">
        <v>612</v>
      </c>
      <c r="C93" s="35" t="s">
        <v>518</v>
      </c>
      <c r="D93" s="33" t="s">
        <v>232</v>
      </c>
      <c r="E93" s="33">
        <v>101</v>
      </c>
      <c r="F93" s="33" t="s">
        <v>487</v>
      </c>
      <c r="G93" s="36" t="s">
        <v>488</v>
      </c>
      <c r="H93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S.SMPINFX10</v>
      </c>
    </row>
    <row r="94" spans="2:8" x14ac:dyDescent="0.45">
      <c r="B94" s="43" t="s">
        <v>613</v>
      </c>
      <c r="C94" s="35" t="s">
        <v>518</v>
      </c>
      <c r="D94" s="33" t="s">
        <v>232</v>
      </c>
      <c r="E94" s="33">
        <v>102</v>
      </c>
      <c r="F94" s="33" t="s">
        <v>489</v>
      </c>
      <c r="G94" s="36" t="s">
        <v>490</v>
      </c>
      <c r="H94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S.SMPINFX11</v>
      </c>
    </row>
    <row r="95" spans="2:8" x14ac:dyDescent="0.45">
      <c r="B95" s="43" t="s">
        <v>614</v>
      </c>
      <c r="C95" s="35" t="s">
        <v>518</v>
      </c>
      <c r="D95" s="33" t="s">
        <v>232</v>
      </c>
      <c r="E95" s="33">
        <v>103</v>
      </c>
      <c r="F95" s="33" t="s">
        <v>227</v>
      </c>
      <c r="G95" s="36" t="s">
        <v>228</v>
      </c>
      <c r="H95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S.USRUPD</v>
      </c>
    </row>
    <row r="96" spans="2:8" x14ac:dyDescent="0.45">
      <c r="B96" s="43" t="s">
        <v>615</v>
      </c>
      <c r="C96" s="35" t="s">
        <v>518</v>
      </c>
      <c r="D96" s="33" t="s">
        <v>232</v>
      </c>
      <c r="E96" s="33">
        <v>104</v>
      </c>
      <c r="F96" s="33" t="s">
        <v>229</v>
      </c>
      <c r="G96" s="36" t="s">
        <v>230</v>
      </c>
      <c r="H96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S.DTUPD</v>
      </c>
    </row>
    <row r="97" spans="2:8" x14ac:dyDescent="0.45">
      <c r="B97" s="43" t="s">
        <v>616</v>
      </c>
      <c r="C97" s="35" t="s">
        <v>519</v>
      </c>
      <c r="D97" s="33" t="s">
        <v>516</v>
      </c>
      <c r="E97" s="33">
        <v>1</v>
      </c>
      <c r="F97" s="33" t="s">
        <v>101</v>
      </c>
      <c r="G97" s="36" t="s">
        <v>21</v>
      </c>
      <c r="H97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H.REQNO</v>
      </c>
    </row>
    <row r="98" spans="2:8" x14ac:dyDescent="0.45">
      <c r="B98" s="43" t="s">
        <v>617</v>
      </c>
      <c r="C98" s="35" t="s">
        <v>519</v>
      </c>
      <c r="D98" s="33" t="s">
        <v>516</v>
      </c>
      <c r="E98" s="33">
        <v>2</v>
      </c>
      <c r="F98" s="33" t="s">
        <v>234</v>
      </c>
      <c r="G98" s="36" t="s">
        <v>235</v>
      </c>
      <c r="H98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H.HLDCD</v>
      </c>
    </row>
    <row r="99" spans="2:8" x14ac:dyDescent="0.45">
      <c r="B99" s="43" t="s">
        <v>618</v>
      </c>
      <c r="C99" s="35" t="s">
        <v>519</v>
      </c>
      <c r="D99" s="33" t="s">
        <v>516</v>
      </c>
      <c r="E99" s="33">
        <v>3</v>
      </c>
      <c r="F99" s="33" t="s">
        <v>102</v>
      </c>
      <c r="G99" s="36" t="s">
        <v>103</v>
      </c>
      <c r="H99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H.STATE</v>
      </c>
    </row>
    <row r="100" spans="2:8" x14ac:dyDescent="0.45">
      <c r="B100" s="43" t="s">
        <v>619</v>
      </c>
      <c r="C100" s="35" t="s">
        <v>519</v>
      </c>
      <c r="D100" s="33" t="s">
        <v>516</v>
      </c>
      <c r="E100" s="33">
        <v>4</v>
      </c>
      <c r="F100" s="33" t="s">
        <v>115</v>
      </c>
      <c r="G100" s="36" t="s">
        <v>116</v>
      </c>
      <c r="H100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H.SMPLOCK</v>
      </c>
    </row>
    <row r="101" spans="2:8" x14ac:dyDescent="0.45">
      <c r="B101" s="43" t="s">
        <v>620</v>
      </c>
      <c r="C101" s="35" t="s">
        <v>519</v>
      </c>
      <c r="D101" s="33" t="s">
        <v>516</v>
      </c>
      <c r="E101" s="33">
        <v>5</v>
      </c>
      <c r="F101" s="33" t="s">
        <v>236</v>
      </c>
      <c r="G101" s="36" t="s">
        <v>237</v>
      </c>
      <c r="H101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H.HLDNM</v>
      </c>
    </row>
    <row r="102" spans="2:8" x14ac:dyDescent="0.45">
      <c r="B102" s="43" t="s">
        <v>621</v>
      </c>
      <c r="C102" s="35" t="s">
        <v>519</v>
      </c>
      <c r="D102" s="33" t="s">
        <v>516</v>
      </c>
      <c r="E102" s="33">
        <v>6</v>
      </c>
      <c r="F102" s="33" t="s">
        <v>238</v>
      </c>
      <c r="G102" s="36" t="s">
        <v>239</v>
      </c>
      <c r="H102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H.HLDNO</v>
      </c>
    </row>
    <row r="103" spans="2:8" x14ac:dyDescent="0.45">
      <c r="B103" s="43" t="s">
        <v>622</v>
      </c>
      <c r="C103" s="35" t="s">
        <v>519</v>
      </c>
      <c r="D103" s="33" t="s">
        <v>516</v>
      </c>
      <c r="E103" s="33">
        <v>7</v>
      </c>
      <c r="F103" s="33" t="s">
        <v>240</v>
      </c>
      <c r="G103" s="36" t="s">
        <v>241</v>
      </c>
      <c r="H103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H.HLDLOCK</v>
      </c>
    </row>
    <row r="104" spans="2:8" x14ac:dyDescent="0.45">
      <c r="B104" s="43" t="s">
        <v>623</v>
      </c>
      <c r="C104" s="35" t="s">
        <v>519</v>
      </c>
      <c r="D104" s="33" t="s">
        <v>516</v>
      </c>
      <c r="E104" s="33">
        <v>8</v>
      </c>
      <c r="F104" s="33" t="s">
        <v>242</v>
      </c>
      <c r="G104" s="36" t="s">
        <v>243</v>
      </c>
      <c r="H104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H.HLDPRTY</v>
      </c>
    </row>
    <row r="105" spans="2:8" x14ac:dyDescent="0.45">
      <c r="B105" s="43" t="s">
        <v>624</v>
      </c>
      <c r="C105" s="35" t="s">
        <v>519</v>
      </c>
      <c r="D105" s="33" t="s">
        <v>516</v>
      </c>
      <c r="E105" s="33">
        <v>9</v>
      </c>
      <c r="F105" s="33" t="s">
        <v>244</v>
      </c>
      <c r="G105" s="36" t="s">
        <v>245</v>
      </c>
      <c r="H105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H.CONDT</v>
      </c>
    </row>
    <row r="106" spans="2:8" x14ac:dyDescent="0.45">
      <c r="B106" s="43" t="s">
        <v>625</v>
      </c>
      <c r="C106" s="35" t="s">
        <v>519</v>
      </c>
      <c r="D106" s="33" t="s">
        <v>516</v>
      </c>
      <c r="E106" s="33">
        <v>10</v>
      </c>
      <c r="F106" s="33" t="s">
        <v>246</v>
      </c>
      <c r="G106" s="36" t="s">
        <v>247</v>
      </c>
      <c r="H106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H.CONUSRCD</v>
      </c>
    </row>
    <row r="107" spans="2:8" x14ac:dyDescent="0.45">
      <c r="B107" s="43" t="s">
        <v>626</v>
      </c>
      <c r="C107" s="35" t="s">
        <v>519</v>
      </c>
      <c r="D107" s="33" t="s">
        <v>516</v>
      </c>
      <c r="E107" s="33">
        <v>11</v>
      </c>
      <c r="F107" s="33" t="s">
        <v>141</v>
      </c>
      <c r="G107" s="36" t="s">
        <v>142</v>
      </c>
      <c r="H107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H.OFFSPCF</v>
      </c>
    </row>
    <row r="108" spans="2:8" x14ac:dyDescent="0.45">
      <c r="B108" s="43" t="s">
        <v>627</v>
      </c>
      <c r="C108" s="35" t="s">
        <v>519</v>
      </c>
      <c r="D108" s="33" t="s">
        <v>516</v>
      </c>
      <c r="E108" s="33">
        <v>12</v>
      </c>
      <c r="F108" s="33" t="s">
        <v>151</v>
      </c>
      <c r="G108" s="36" t="s">
        <v>152</v>
      </c>
      <c r="H108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H.PRICE</v>
      </c>
    </row>
    <row r="109" spans="2:8" x14ac:dyDescent="0.45">
      <c r="B109" s="43" t="s">
        <v>628</v>
      </c>
      <c r="C109" s="35" t="s">
        <v>519</v>
      </c>
      <c r="D109" s="33" t="s">
        <v>516</v>
      </c>
      <c r="E109" s="33">
        <v>13</v>
      </c>
      <c r="F109" s="33" t="s">
        <v>153</v>
      </c>
      <c r="G109" s="36" t="s">
        <v>154</v>
      </c>
      <c r="H109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H.AUTCD</v>
      </c>
    </row>
    <row r="110" spans="2:8" x14ac:dyDescent="0.45">
      <c r="B110" s="43" t="s">
        <v>629</v>
      </c>
      <c r="C110" s="35" t="s">
        <v>519</v>
      </c>
      <c r="D110" s="33" t="s">
        <v>516</v>
      </c>
      <c r="E110" s="33">
        <v>14</v>
      </c>
      <c r="F110" s="33" t="s">
        <v>248</v>
      </c>
      <c r="G110" s="36" t="s">
        <v>249</v>
      </c>
      <c r="H110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H.HLDATTR</v>
      </c>
    </row>
    <row r="111" spans="2:8" x14ac:dyDescent="0.45">
      <c r="B111" s="43" t="s">
        <v>630</v>
      </c>
      <c r="C111" s="35" t="s">
        <v>519</v>
      </c>
      <c r="D111" s="33" t="s">
        <v>516</v>
      </c>
      <c r="E111" s="33">
        <v>15</v>
      </c>
      <c r="F111" s="33" t="s">
        <v>250</v>
      </c>
      <c r="G111" s="36" t="s">
        <v>251</v>
      </c>
      <c r="H111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H.HLDATTRX</v>
      </c>
    </row>
    <row r="112" spans="2:8" x14ac:dyDescent="0.45">
      <c r="B112" s="43" t="s">
        <v>631</v>
      </c>
      <c r="C112" s="35" t="s">
        <v>519</v>
      </c>
      <c r="D112" s="33" t="s">
        <v>516</v>
      </c>
      <c r="E112" s="33">
        <v>16</v>
      </c>
      <c r="F112" s="33" t="s">
        <v>252</v>
      </c>
      <c r="G112" s="36" t="s">
        <v>491</v>
      </c>
      <c r="H112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H.HLDINF01</v>
      </c>
    </row>
    <row r="113" spans="2:8" x14ac:dyDescent="0.45">
      <c r="B113" s="43" t="s">
        <v>632</v>
      </c>
      <c r="C113" s="35" t="s">
        <v>519</v>
      </c>
      <c r="D113" s="33" t="s">
        <v>516</v>
      </c>
      <c r="E113" s="33">
        <v>17</v>
      </c>
      <c r="F113" s="33" t="s">
        <v>253</v>
      </c>
      <c r="G113" s="36" t="s">
        <v>492</v>
      </c>
      <c r="H113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H.HLDINF02</v>
      </c>
    </row>
    <row r="114" spans="2:8" x14ac:dyDescent="0.45">
      <c r="B114" s="43" t="s">
        <v>633</v>
      </c>
      <c r="C114" s="35" t="s">
        <v>519</v>
      </c>
      <c r="D114" s="33" t="s">
        <v>516</v>
      </c>
      <c r="E114" s="33">
        <v>18</v>
      </c>
      <c r="F114" s="33" t="s">
        <v>254</v>
      </c>
      <c r="G114" s="36" t="s">
        <v>493</v>
      </c>
      <c r="H114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H.HLDINF03</v>
      </c>
    </row>
    <row r="115" spans="2:8" x14ac:dyDescent="0.45">
      <c r="B115" s="43" t="s">
        <v>634</v>
      </c>
      <c r="C115" s="35" t="s">
        <v>519</v>
      </c>
      <c r="D115" s="33" t="s">
        <v>516</v>
      </c>
      <c r="E115" s="33">
        <v>19</v>
      </c>
      <c r="F115" s="33" t="s">
        <v>255</v>
      </c>
      <c r="G115" s="36" t="s">
        <v>494</v>
      </c>
      <c r="H115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H.HLDINF04</v>
      </c>
    </row>
    <row r="116" spans="2:8" x14ac:dyDescent="0.45">
      <c r="B116" s="43" t="s">
        <v>635</v>
      </c>
      <c r="C116" s="35" t="s">
        <v>519</v>
      </c>
      <c r="D116" s="33" t="s">
        <v>516</v>
      </c>
      <c r="E116" s="33">
        <v>20</v>
      </c>
      <c r="F116" s="33" t="s">
        <v>256</v>
      </c>
      <c r="G116" s="36" t="s">
        <v>495</v>
      </c>
      <c r="H116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H.HLDINF05</v>
      </c>
    </row>
    <row r="117" spans="2:8" x14ac:dyDescent="0.45">
      <c r="B117" s="43" t="s">
        <v>636</v>
      </c>
      <c r="C117" s="35" t="s">
        <v>519</v>
      </c>
      <c r="D117" s="33" t="s">
        <v>516</v>
      </c>
      <c r="E117" s="33">
        <v>25</v>
      </c>
      <c r="F117" s="33" t="s">
        <v>257</v>
      </c>
      <c r="G117" s="36" t="s">
        <v>496</v>
      </c>
      <c r="H117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H.HLDINF10</v>
      </c>
    </row>
    <row r="118" spans="2:8" x14ac:dyDescent="0.45">
      <c r="B118" s="43" t="s">
        <v>637</v>
      </c>
      <c r="C118" s="35" t="s">
        <v>519</v>
      </c>
      <c r="D118" s="33" t="s">
        <v>516</v>
      </c>
      <c r="E118" s="33">
        <v>28</v>
      </c>
      <c r="F118" s="33" t="s">
        <v>258</v>
      </c>
      <c r="G118" s="36" t="s">
        <v>497</v>
      </c>
      <c r="H118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H.HLDINF13</v>
      </c>
    </row>
    <row r="119" spans="2:8" x14ac:dyDescent="0.45">
      <c r="B119" s="43" t="s">
        <v>638</v>
      </c>
      <c r="C119" s="35" t="s">
        <v>519</v>
      </c>
      <c r="D119" s="33" t="s">
        <v>516</v>
      </c>
      <c r="E119" s="33">
        <v>29</v>
      </c>
      <c r="F119" s="33" t="s">
        <v>259</v>
      </c>
      <c r="G119" s="36" t="s">
        <v>498</v>
      </c>
      <c r="H119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H.HLDINF14</v>
      </c>
    </row>
    <row r="120" spans="2:8" x14ac:dyDescent="0.45">
      <c r="B120" s="43" t="s">
        <v>639</v>
      </c>
      <c r="C120" s="35" t="s">
        <v>519</v>
      </c>
      <c r="D120" s="33" t="s">
        <v>516</v>
      </c>
      <c r="E120" s="33">
        <v>30</v>
      </c>
      <c r="F120" s="33" t="s">
        <v>260</v>
      </c>
      <c r="G120" s="36" t="s">
        <v>499</v>
      </c>
      <c r="H120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H.HLDINF15</v>
      </c>
    </row>
    <row r="121" spans="2:8" x14ac:dyDescent="0.45">
      <c r="B121" s="43" t="s">
        <v>640</v>
      </c>
      <c r="C121" s="35" t="s">
        <v>519</v>
      </c>
      <c r="D121" s="33" t="s">
        <v>516</v>
      </c>
      <c r="E121" s="33">
        <v>31</v>
      </c>
      <c r="F121" s="33" t="s">
        <v>261</v>
      </c>
      <c r="G121" s="36" t="s">
        <v>500</v>
      </c>
      <c r="H121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H.HLDINF16</v>
      </c>
    </row>
    <row r="122" spans="2:8" x14ac:dyDescent="0.45">
      <c r="B122" s="43" t="s">
        <v>641</v>
      </c>
      <c r="C122" s="35" t="s">
        <v>519</v>
      </c>
      <c r="D122" s="33" t="s">
        <v>516</v>
      </c>
      <c r="E122" s="33">
        <v>33</v>
      </c>
      <c r="F122" s="33" t="s">
        <v>262</v>
      </c>
      <c r="G122" s="36" t="s">
        <v>501</v>
      </c>
      <c r="H122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H.HLDINF18</v>
      </c>
    </row>
    <row r="123" spans="2:8" x14ac:dyDescent="0.45">
      <c r="B123" s="43" t="s">
        <v>642</v>
      </c>
      <c r="C123" s="35" t="s">
        <v>519</v>
      </c>
      <c r="D123" s="33" t="s">
        <v>516</v>
      </c>
      <c r="E123" s="33">
        <v>36</v>
      </c>
      <c r="F123" s="33" t="s">
        <v>263</v>
      </c>
      <c r="G123" s="36" t="s">
        <v>264</v>
      </c>
      <c r="H123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H.HLDINFX01</v>
      </c>
    </row>
    <row r="124" spans="2:8" x14ac:dyDescent="0.45">
      <c r="B124" s="43" t="s">
        <v>643</v>
      </c>
      <c r="C124" s="35" t="s">
        <v>519</v>
      </c>
      <c r="D124" s="33" t="s">
        <v>516</v>
      </c>
      <c r="E124" s="33">
        <v>37</v>
      </c>
      <c r="F124" s="33" t="s">
        <v>265</v>
      </c>
      <c r="G124" s="36" t="s">
        <v>266</v>
      </c>
      <c r="H124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H.HLDINFX02</v>
      </c>
    </row>
    <row r="125" spans="2:8" x14ac:dyDescent="0.45">
      <c r="B125" s="43" t="s">
        <v>644</v>
      </c>
      <c r="C125" s="35" t="s">
        <v>519</v>
      </c>
      <c r="D125" s="33" t="s">
        <v>516</v>
      </c>
      <c r="E125" s="33">
        <v>38</v>
      </c>
      <c r="F125" s="33" t="s">
        <v>267</v>
      </c>
      <c r="G125" s="36" t="s">
        <v>268</v>
      </c>
      <c r="H125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H.HLDINFX03</v>
      </c>
    </row>
    <row r="126" spans="2:8" x14ac:dyDescent="0.45">
      <c r="B126" s="43" t="s">
        <v>645</v>
      </c>
      <c r="C126" s="35" t="s">
        <v>519</v>
      </c>
      <c r="D126" s="33" t="s">
        <v>516</v>
      </c>
      <c r="E126" s="33">
        <v>39</v>
      </c>
      <c r="F126" s="33" t="s">
        <v>269</v>
      </c>
      <c r="G126" s="36" t="s">
        <v>270</v>
      </c>
      <c r="H126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H.HLDINFX04</v>
      </c>
    </row>
    <row r="127" spans="2:8" x14ac:dyDescent="0.45">
      <c r="B127" s="43" t="s">
        <v>646</v>
      </c>
      <c r="C127" s="35" t="s">
        <v>519</v>
      </c>
      <c r="D127" s="33" t="s">
        <v>516</v>
      </c>
      <c r="E127" s="33">
        <v>40</v>
      </c>
      <c r="F127" s="33" t="s">
        <v>271</v>
      </c>
      <c r="G127" s="36" t="s">
        <v>222</v>
      </c>
      <c r="H127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H.HLDINFX05</v>
      </c>
    </row>
    <row r="128" spans="2:8" x14ac:dyDescent="0.45">
      <c r="B128" s="43" t="s">
        <v>647</v>
      </c>
      <c r="C128" s="35" t="s">
        <v>519</v>
      </c>
      <c r="D128" s="33" t="s">
        <v>516</v>
      </c>
      <c r="E128" s="33">
        <v>41</v>
      </c>
      <c r="F128" s="33" t="s">
        <v>272</v>
      </c>
      <c r="G128" s="36" t="s">
        <v>273</v>
      </c>
      <c r="H128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H.HLDINFX06</v>
      </c>
    </row>
    <row r="129" spans="2:8" x14ac:dyDescent="0.45">
      <c r="B129" s="43" t="s">
        <v>648</v>
      </c>
      <c r="C129" s="35" t="s">
        <v>519</v>
      </c>
      <c r="D129" s="33" t="s">
        <v>516</v>
      </c>
      <c r="E129" s="33">
        <v>42</v>
      </c>
      <c r="F129" s="33" t="s">
        <v>274</v>
      </c>
      <c r="G129" s="36" t="s">
        <v>275</v>
      </c>
      <c r="H129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H.HLDINFX07</v>
      </c>
    </row>
    <row r="130" spans="2:8" x14ac:dyDescent="0.45">
      <c r="B130" s="43" t="s">
        <v>649</v>
      </c>
      <c r="C130" s="35" t="s">
        <v>519</v>
      </c>
      <c r="D130" s="33" t="s">
        <v>516</v>
      </c>
      <c r="E130" s="33">
        <v>43</v>
      </c>
      <c r="F130" s="33" t="s">
        <v>227</v>
      </c>
      <c r="G130" s="36" t="s">
        <v>228</v>
      </c>
      <c r="H130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H.USRUPD</v>
      </c>
    </row>
    <row r="131" spans="2:8" x14ac:dyDescent="0.45">
      <c r="B131" s="43" t="s">
        <v>650</v>
      </c>
      <c r="C131" s="35" t="s">
        <v>519</v>
      </c>
      <c r="D131" s="33" t="s">
        <v>516</v>
      </c>
      <c r="E131" s="33">
        <v>44</v>
      </c>
      <c r="F131" s="33" t="s">
        <v>229</v>
      </c>
      <c r="G131" s="36" t="s">
        <v>230</v>
      </c>
      <c r="H131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H.DTUPD</v>
      </c>
    </row>
    <row r="132" spans="2:8" x14ac:dyDescent="0.45">
      <c r="B132" s="43" t="s">
        <v>651</v>
      </c>
      <c r="C132" s="35" t="s">
        <v>520</v>
      </c>
      <c r="D132" s="33" t="s">
        <v>517</v>
      </c>
      <c r="E132" s="33">
        <v>1</v>
      </c>
      <c r="F132" s="33" t="s">
        <v>101</v>
      </c>
      <c r="G132" s="36" t="s">
        <v>21</v>
      </c>
      <c r="H132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T.REQNO</v>
      </c>
    </row>
    <row r="133" spans="2:8" x14ac:dyDescent="0.45">
      <c r="B133" s="43" t="s">
        <v>652</v>
      </c>
      <c r="C133" s="35" t="s">
        <v>520</v>
      </c>
      <c r="D133" s="33" t="s">
        <v>517</v>
      </c>
      <c r="E133" s="33">
        <v>2</v>
      </c>
      <c r="F133" s="33" t="s">
        <v>234</v>
      </c>
      <c r="G133" s="36" t="s">
        <v>235</v>
      </c>
      <c r="H133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T.HLDCD</v>
      </c>
    </row>
    <row r="134" spans="2:8" x14ac:dyDescent="0.45">
      <c r="B134" s="43" t="s">
        <v>653</v>
      </c>
      <c r="C134" s="35" t="s">
        <v>520</v>
      </c>
      <c r="D134" s="33" t="s">
        <v>517</v>
      </c>
      <c r="E134" s="33">
        <v>3</v>
      </c>
      <c r="F134" s="33" t="s">
        <v>276</v>
      </c>
      <c r="G134" s="36" t="s">
        <v>277</v>
      </c>
      <c r="H134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T.TSTCD</v>
      </c>
    </row>
    <row r="135" spans="2:8" x14ac:dyDescent="0.45">
      <c r="B135" s="43" t="s">
        <v>654</v>
      </c>
      <c r="C135" s="35" t="s">
        <v>520</v>
      </c>
      <c r="D135" s="33" t="s">
        <v>517</v>
      </c>
      <c r="E135" s="33">
        <v>4</v>
      </c>
      <c r="F135" s="33" t="s">
        <v>278</v>
      </c>
      <c r="G135" s="36" t="s">
        <v>279</v>
      </c>
      <c r="H135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T.UNTCD</v>
      </c>
    </row>
    <row r="136" spans="2:8" x14ac:dyDescent="0.45">
      <c r="B136" s="43" t="s">
        <v>655</v>
      </c>
      <c r="C136" s="35" t="s">
        <v>520</v>
      </c>
      <c r="D136" s="33" t="s">
        <v>517</v>
      </c>
      <c r="E136" s="33">
        <v>5</v>
      </c>
      <c r="F136" s="33" t="s">
        <v>102</v>
      </c>
      <c r="G136" s="36" t="s">
        <v>103</v>
      </c>
      <c r="H136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T.STATE</v>
      </c>
    </row>
    <row r="137" spans="2:8" x14ac:dyDescent="0.45">
      <c r="B137" s="43" t="s">
        <v>656</v>
      </c>
      <c r="C137" s="35" t="s">
        <v>520</v>
      </c>
      <c r="D137" s="33" t="s">
        <v>517</v>
      </c>
      <c r="E137" s="33">
        <v>6</v>
      </c>
      <c r="F137" s="33" t="s">
        <v>115</v>
      </c>
      <c r="G137" s="36" t="s">
        <v>116</v>
      </c>
      <c r="H137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T.SMPLOCK</v>
      </c>
    </row>
    <row r="138" spans="2:8" x14ac:dyDescent="0.45">
      <c r="B138" s="43" t="s">
        <v>657</v>
      </c>
      <c r="C138" s="35" t="s">
        <v>520</v>
      </c>
      <c r="D138" s="33" t="s">
        <v>517</v>
      </c>
      <c r="E138" s="33">
        <v>7</v>
      </c>
      <c r="F138" s="33" t="s">
        <v>238</v>
      </c>
      <c r="G138" s="36" t="s">
        <v>239</v>
      </c>
      <c r="H138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T.HLDNO</v>
      </c>
    </row>
    <row r="139" spans="2:8" x14ac:dyDescent="0.45">
      <c r="B139" s="43" t="s">
        <v>658</v>
      </c>
      <c r="C139" s="35" t="s">
        <v>520</v>
      </c>
      <c r="D139" s="33" t="s">
        <v>517</v>
      </c>
      <c r="E139" s="33">
        <v>8</v>
      </c>
      <c r="F139" s="33" t="s">
        <v>240</v>
      </c>
      <c r="G139" s="36" t="s">
        <v>241</v>
      </c>
      <c r="H139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T.HLDLOCK</v>
      </c>
    </row>
    <row r="140" spans="2:8" x14ac:dyDescent="0.45">
      <c r="B140" s="43" t="s">
        <v>659</v>
      </c>
      <c r="C140" s="35" t="s">
        <v>520</v>
      </c>
      <c r="D140" s="33" t="s">
        <v>517</v>
      </c>
      <c r="E140" s="33">
        <v>9</v>
      </c>
      <c r="F140" s="33" t="s">
        <v>280</v>
      </c>
      <c r="G140" s="36" t="s">
        <v>281</v>
      </c>
      <c r="H140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T.TSTNM</v>
      </c>
    </row>
    <row r="141" spans="2:8" x14ac:dyDescent="0.45">
      <c r="B141" s="43" t="s">
        <v>660</v>
      </c>
      <c r="C141" s="35" t="s">
        <v>520</v>
      </c>
      <c r="D141" s="33" t="s">
        <v>517</v>
      </c>
      <c r="E141" s="33">
        <v>10</v>
      </c>
      <c r="F141" s="33" t="s">
        <v>282</v>
      </c>
      <c r="G141" s="36" t="s">
        <v>283</v>
      </c>
      <c r="H141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T.TSTNO</v>
      </c>
    </row>
    <row r="142" spans="2:8" x14ac:dyDescent="0.45">
      <c r="B142" s="43" t="s">
        <v>661</v>
      </c>
      <c r="C142" s="35" t="s">
        <v>520</v>
      </c>
      <c r="D142" s="33" t="s">
        <v>517</v>
      </c>
      <c r="E142" s="33">
        <v>11</v>
      </c>
      <c r="F142" s="33" t="s">
        <v>284</v>
      </c>
      <c r="G142" s="36" t="s">
        <v>285</v>
      </c>
      <c r="H142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T.DATCNT</v>
      </c>
    </row>
    <row r="143" spans="2:8" x14ac:dyDescent="0.45">
      <c r="B143" s="43" t="s">
        <v>662</v>
      </c>
      <c r="C143" s="35" t="s">
        <v>520</v>
      </c>
      <c r="D143" s="33" t="s">
        <v>517</v>
      </c>
      <c r="E143" s="33">
        <v>12</v>
      </c>
      <c r="F143" s="33" t="s">
        <v>286</v>
      </c>
      <c r="G143" s="36" t="s">
        <v>287</v>
      </c>
      <c r="H143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T.TSTDT0</v>
      </c>
    </row>
    <row r="144" spans="2:8" x14ac:dyDescent="0.45">
      <c r="B144" s="43" t="s">
        <v>663</v>
      </c>
      <c r="C144" s="35" t="s">
        <v>520</v>
      </c>
      <c r="D144" s="33" t="s">
        <v>517</v>
      </c>
      <c r="E144" s="33">
        <v>13</v>
      </c>
      <c r="F144" s="33" t="s">
        <v>288</v>
      </c>
      <c r="G144" s="36" t="s">
        <v>289</v>
      </c>
      <c r="H144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T.TSTDT1</v>
      </c>
    </row>
    <row r="145" spans="2:8" x14ac:dyDescent="0.45">
      <c r="B145" s="43" t="s">
        <v>664</v>
      </c>
      <c r="C145" s="35" t="s">
        <v>520</v>
      </c>
      <c r="D145" s="33" t="s">
        <v>517</v>
      </c>
      <c r="E145" s="33">
        <v>14</v>
      </c>
      <c r="F145" s="33" t="s">
        <v>290</v>
      </c>
      <c r="G145" s="36" t="s">
        <v>291</v>
      </c>
      <c r="H145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T.TSTUSRCD</v>
      </c>
    </row>
    <row r="146" spans="2:8" x14ac:dyDescent="0.45">
      <c r="B146" s="43" t="s">
        <v>665</v>
      </c>
      <c r="C146" s="35" t="s">
        <v>520</v>
      </c>
      <c r="D146" s="33" t="s">
        <v>517</v>
      </c>
      <c r="E146" s="33">
        <v>15</v>
      </c>
      <c r="F146" s="33" t="s">
        <v>292</v>
      </c>
      <c r="G146" s="36" t="s">
        <v>293</v>
      </c>
      <c r="H146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T.DATSRC0</v>
      </c>
    </row>
    <row r="147" spans="2:8" x14ac:dyDescent="0.45">
      <c r="B147" s="43" t="s">
        <v>666</v>
      </c>
      <c r="C147" s="35" t="s">
        <v>520</v>
      </c>
      <c r="D147" s="33" t="s">
        <v>517</v>
      </c>
      <c r="E147" s="33">
        <v>16</v>
      </c>
      <c r="F147" s="33" t="s">
        <v>294</v>
      </c>
      <c r="G147" s="36" t="s">
        <v>295</v>
      </c>
      <c r="H147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T.RECKEY1_</v>
      </c>
    </row>
    <row r="148" spans="2:8" x14ac:dyDescent="0.45">
      <c r="B148" s="43" t="s">
        <v>667</v>
      </c>
      <c r="C148" s="35" t="s">
        <v>520</v>
      </c>
      <c r="D148" s="33" t="s">
        <v>517</v>
      </c>
      <c r="E148" s="33">
        <v>17</v>
      </c>
      <c r="F148" s="33" t="s">
        <v>296</v>
      </c>
      <c r="G148" s="36" t="s">
        <v>297</v>
      </c>
      <c r="H148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T.RECKEY2_</v>
      </c>
    </row>
    <row r="149" spans="2:8" x14ac:dyDescent="0.45">
      <c r="B149" s="43" t="s">
        <v>668</v>
      </c>
      <c r="C149" s="35" t="s">
        <v>520</v>
      </c>
      <c r="D149" s="33" t="s">
        <v>517</v>
      </c>
      <c r="E149" s="33">
        <v>18</v>
      </c>
      <c r="F149" s="33" t="s">
        <v>298</v>
      </c>
      <c r="G149" s="36" t="s">
        <v>299</v>
      </c>
      <c r="H149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T.RECKEY3_</v>
      </c>
    </row>
    <row r="150" spans="2:8" x14ac:dyDescent="0.45">
      <c r="B150" s="43" t="s">
        <v>669</v>
      </c>
      <c r="C150" s="35" t="s">
        <v>520</v>
      </c>
      <c r="D150" s="33" t="s">
        <v>517</v>
      </c>
      <c r="E150" s="33">
        <v>19</v>
      </c>
      <c r="F150" s="33" t="s">
        <v>300</v>
      </c>
      <c r="G150" s="36" t="s">
        <v>301</v>
      </c>
      <c r="H150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T.RECKEY4_</v>
      </c>
    </row>
    <row r="151" spans="2:8" x14ac:dyDescent="0.45">
      <c r="B151" s="43" t="s">
        <v>670</v>
      </c>
      <c r="C151" s="35" t="s">
        <v>520</v>
      </c>
      <c r="D151" s="33" t="s">
        <v>517</v>
      </c>
      <c r="E151" s="33">
        <v>20</v>
      </c>
      <c r="F151" s="33" t="s">
        <v>302</v>
      </c>
      <c r="G151" s="36" t="s">
        <v>303</v>
      </c>
      <c r="H151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T.DATSRC</v>
      </c>
    </row>
    <row r="152" spans="2:8" x14ac:dyDescent="0.45">
      <c r="B152" s="43" t="s">
        <v>671</v>
      </c>
      <c r="C152" s="35" t="s">
        <v>520</v>
      </c>
      <c r="D152" s="33" t="s">
        <v>517</v>
      </c>
      <c r="E152" s="33">
        <v>21</v>
      </c>
      <c r="F152" s="33" t="s">
        <v>304</v>
      </c>
      <c r="G152" s="36" t="s">
        <v>305</v>
      </c>
      <c r="H152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T.RECKEY1</v>
      </c>
    </row>
    <row r="153" spans="2:8" x14ac:dyDescent="0.45">
      <c r="B153" s="43" t="s">
        <v>672</v>
      </c>
      <c r="C153" s="35" t="s">
        <v>520</v>
      </c>
      <c r="D153" s="33" t="s">
        <v>517</v>
      </c>
      <c r="E153" s="33">
        <v>22</v>
      </c>
      <c r="F153" s="33" t="s">
        <v>306</v>
      </c>
      <c r="G153" s="36" t="s">
        <v>307</v>
      </c>
      <c r="H153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T.RECKEY2</v>
      </c>
    </row>
    <row r="154" spans="2:8" x14ac:dyDescent="0.45">
      <c r="B154" s="43" t="s">
        <v>673</v>
      </c>
      <c r="C154" s="35" t="s">
        <v>520</v>
      </c>
      <c r="D154" s="33" t="s">
        <v>517</v>
      </c>
      <c r="E154" s="33">
        <v>23</v>
      </c>
      <c r="F154" s="33" t="s">
        <v>308</v>
      </c>
      <c r="G154" s="36" t="s">
        <v>309</v>
      </c>
      <c r="H154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T.RECKEY3</v>
      </c>
    </row>
    <row r="155" spans="2:8" x14ac:dyDescent="0.45">
      <c r="B155" s="43" t="s">
        <v>674</v>
      </c>
      <c r="C155" s="35" t="s">
        <v>520</v>
      </c>
      <c r="D155" s="33" t="s">
        <v>517</v>
      </c>
      <c r="E155" s="33">
        <v>24</v>
      </c>
      <c r="F155" s="33" t="s">
        <v>310</v>
      </c>
      <c r="G155" s="36" t="s">
        <v>311</v>
      </c>
      <c r="H155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T.RECKEY4</v>
      </c>
    </row>
    <row r="156" spans="2:8" x14ac:dyDescent="0.45">
      <c r="B156" s="43" t="s">
        <v>675</v>
      </c>
      <c r="C156" s="35" t="s">
        <v>520</v>
      </c>
      <c r="D156" s="33" t="s">
        <v>517</v>
      </c>
      <c r="E156" s="33">
        <v>25</v>
      </c>
      <c r="F156" s="33" t="s">
        <v>312</v>
      </c>
      <c r="G156" s="36" t="s">
        <v>313</v>
      </c>
      <c r="H156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T.DAT0</v>
      </c>
    </row>
    <row r="157" spans="2:8" x14ac:dyDescent="0.45">
      <c r="B157" s="43" t="s">
        <v>676</v>
      </c>
      <c r="C157" s="35" t="s">
        <v>520</v>
      </c>
      <c r="D157" s="33" t="s">
        <v>517</v>
      </c>
      <c r="E157" s="33">
        <v>26</v>
      </c>
      <c r="F157" s="33" t="s">
        <v>314</v>
      </c>
      <c r="G157" s="36" t="s">
        <v>315</v>
      </c>
      <c r="H157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T.DAT1</v>
      </c>
    </row>
    <row r="158" spans="2:8" x14ac:dyDescent="0.45">
      <c r="B158" s="43" t="s">
        <v>677</v>
      </c>
      <c r="C158" s="35" t="s">
        <v>520</v>
      </c>
      <c r="D158" s="33" t="s">
        <v>517</v>
      </c>
      <c r="E158" s="33">
        <v>27</v>
      </c>
      <c r="F158" s="33" t="s">
        <v>316</v>
      </c>
      <c r="G158" s="36" t="s">
        <v>317</v>
      </c>
      <c r="H158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T.DAT2</v>
      </c>
    </row>
    <row r="159" spans="2:8" x14ac:dyDescent="0.45">
      <c r="B159" s="43" t="s">
        <v>678</v>
      </c>
      <c r="C159" s="35" t="s">
        <v>520</v>
      </c>
      <c r="D159" s="33" t="s">
        <v>517</v>
      </c>
      <c r="E159" s="33">
        <v>28</v>
      </c>
      <c r="F159" s="33" t="s">
        <v>318</v>
      </c>
      <c r="G159" s="36" t="s">
        <v>319</v>
      </c>
      <c r="H159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T.LMTF</v>
      </c>
    </row>
    <row r="160" spans="2:8" x14ac:dyDescent="0.45">
      <c r="B160" s="43" t="s">
        <v>679</v>
      </c>
      <c r="C160" s="35" t="s">
        <v>520</v>
      </c>
      <c r="D160" s="33" t="s">
        <v>517</v>
      </c>
      <c r="E160" s="33">
        <v>29</v>
      </c>
      <c r="F160" s="33" t="s">
        <v>320</v>
      </c>
      <c r="G160" s="36" t="s">
        <v>321</v>
      </c>
      <c r="H160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T.RATCD</v>
      </c>
    </row>
    <row r="161" spans="2:8" x14ac:dyDescent="0.45">
      <c r="B161" s="43" t="s">
        <v>680</v>
      </c>
      <c r="C161" s="35" t="s">
        <v>520</v>
      </c>
      <c r="D161" s="33" t="s">
        <v>517</v>
      </c>
      <c r="E161" s="33">
        <v>30</v>
      </c>
      <c r="F161" s="33" t="s">
        <v>322</v>
      </c>
      <c r="G161" s="36" t="s">
        <v>323</v>
      </c>
      <c r="H161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T.DATB1</v>
      </c>
    </row>
    <row r="162" spans="2:8" x14ac:dyDescent="0.45">
      <c r="B162" s="43" t="s">
        <v>681</v>
      </c>
      <c r="C162" s="35" t="s">
        <v>520</v>
      </c>
      <c r="D162" s="33" t="s">
        <v>517</v>
      </c>
      <c r="E162" s="33">
        <v>31</v>
      </c>
      <c r="F162" s="33" t="s">
        <v>324</v>
      </c>
      <c r="G162" s="36" t="s">
        <v>325</v>
      </c>
      <c r="H162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T.DATB2</v>
      </c>
    </row>
    <row r="163" spans="2:8" x14ac:dyDescent="0.45">
      <c r="B163" s="43" t="s">
        <v>682</v>
      </c>
      <c r="C163" s="35" t="s">
        <v>520</v>
      </c>
      <c r="D163" s="33" t="s">
        <v>517</v>
      </c>
      <c r="E163" s="33">
        <v>32</v>
      </c>
      <c r="F163" s="33" t="s">
        <v>326</v>
      </c>
      <c r="G163" s="36" t="s">
        <v>327</v>
      </c>
      <c r="H163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T.DATB3</v>
      </c>
    </row>
    <row r="164" spans="2:8" x14ac:dyDescent="0.45">
      <c r="B164" s="43" t="s">
        <v>683</v>
      </c>
      <c r="C164" s="35" t="s">
        <v>520</v>
      </c>
      <c r="D164" s="33" t="s">
        <v>517</v>
      </c>
      <c r="E164" s="33">
        <v>33</v>
      </c>
      <c r="F164" s="33" t="s">
        <v>328</v>
      </c>
      <c r="G164" s="36" t="s">
        <v>329</v>
      </c>
      <c r="H164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T.DATB4</v>
      </c>
    </row>
    <row r="165" spans="2:8" x14ac:dyDescent="0.45">
      <c r="B165" s="43" t="s">
        <v>684</v>
      </c>
      <c r="C165" s="35" t="s">
        <v>520</v>
      </c>
      <c r="D165" s="33" t="s">
        <v>517</v>
      </c>
      <c r="E165" s="33">
        <v>34</v>
      </c>
      <c r="F165" s="33" t="s">
        <v>330</v>
      </c>
      <c r="G165" s="36" t="s">
        <v>331</v>
      </c>
      <c r="H165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T.DATB5</v>
      </c>
    </row>
    <row r="166" spans="2:8" x14ac:dyDescent="0.45">
      <c r="B166" s="43" t="s">
        <v>685</v>
      </c>
      <c r="C166" s="35" t="s">
        <v>520</v>
      </c>
      <c r="D166" s="33" t="s">
        <v>517</v>
      </c>
      <c r="E166" s="33">
        <v>35</v>
      </c>
      <c r="F166" s="33" t="s">
        <v>332</v>
      </c>
      <c r="G166" s="36" t="s">
        <v>333</v>
      </c>
      <c r="H166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T.LMTFB1</v>
      </c>
    </row>
    <row r="167" spans="2:8" x14ac:dyDescent="0.45">
      <c r="B167" s="43" t="s">
        <v>686</v>
      </c>
      <c r="C167" s="35" t="s">
        <v>520</v>
      </c>
      <c r="D167" s="33" t="s">
        <v>517</v>
      </c>
      <c r="E167" s="33">
        <v>36</v>
      </c>
      <c r="F167" s="33" t="s">
        <v>334</v>
      </c>
      <c r="G167" s="36" t="s">
        <v>335</v>
      </c>
      <c r="H167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T.LMTFB2</v>
      </c>
    </row>
    <row r="168" spans="2:8" x14ac:dyDescent="0.45">
      <c r="B168" s="43" t="s">
        <v>687</v>
      </c>
      <c r="C168" s="35" t="s">
        <v>520</v>
      </c>
      <c r="D168" s="33" t="s">
        <v>517</v>
      </c>
      <c r="E168" s="33">
        <v>37</v>
      </c>
      <c r="F168" s="33" t="s">
        <v>336</v>
      </c>
      <c r="G168" s="36" t="s">
        <v>337</v>
      </c>
      <c r="H168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T.LMTFB3</v>
      </c>
    </row>
    <row r="169" spans="2:8" x14ac:dyDescent="0.45">
      <c r="B169" s="43" t="s">
        <v>688</v>
      </c>
      <c r="C169" s="35" t="s">
        <v>520</v>
      </c>
      <c r="D169" s="33" t="s">
        <v>517</v>
      </c>
      <c r="E169" s="33">
        <v>38</v>
      </c>
      <c r="F169" s="33" t="s">
        <v>338</v>
      </c>
      <c r="G169" s="36" t="s">
        <v>339</v>
      </c>
      <c r="H169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T.LMTFB4</v>
      </c>
    </row>
    <row r="170" spans="2:8" x14ac:dyDescent="0.45">
      <c r="B170" s="43" t="s">
        <v>689</v>
      </c>
      <c r="C170" s="35" t="s">
        <v>520</v>
      </c>
      <c r="D170" s="33" t="s">
        <v>517</v>
      </c>
      <c r="E170" s="33">
        <v>39</v>
      </c>
      <c r="F170" s="33" t="s">
        <v>340</v>
      </c>
      <c r="G170" s="36" t="s">
        <v>341</v>
      </c>
      <c r="H170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T.LMTFB5</v>
      </c>
    </row>
    <row r="171" spans="2:8" x14ac:dyDescent="0.45">
      <c r="B171" s="43" t="s">
        <v>690</v>
      </c>
      <c r="C171" s="35" t="s">
        <v>520</v>
      </c>
      <c r="D171" s="33" t="s">
        <v>517</v>
      </c>
      <c r="E171" s="33">
        <v>40</v>
      </c>
      <c r="F171" s="33" t="s">
        <v>342</v>
      </c>
      <c r="G171" s="36" t="s">
        <v>343</v>
      </c>
      <c r="H171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T.DATTYP</v>
      </c>
    </row>
    <row r="172" spans="2:8" x14ac:dyDescent="0.45">
      <c r="B172" s="43" t="s">
        <v>691</v>
      </c>
      <c r="C172" s="35" t="s">
        <v>520</v>
      </c>
      <c r="D172" s="33" t="s">
        <v>517</v>
      </c>
      <c r="E172" s="33">
        <v>41</v>
      </c>
      <c r="F172" s="33" t="s">
        <v>344</v>
      </c>
      <c r="G172" s="36" t="s">
        <v>345</v>
      </c>
      <c r="H172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T.DATLEN</v>
      </c>
    </row>
    <row r="173" spans="2:8" x14ac:dyDescent="0.45">
      <c r="B173" s="43" t="s">
        <v>692</v>
      </c>
      <c r="C173" s="35" t="s">
        <v>520</v>
      </c>
      <c r="D173" s="33" t="s">
        <v>517</v>
      </c>
      <c r="E173" s="33">
        <v>42</v>
      </c>
      <c r="F173" s="33" t="s">
        <v>346</v>
      </c>
      <c r="G173" s="36" t="s">
        <v>347</v>
      </c>
      <c r="H173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T.EDTF</v>
      </c>
    </row>
    <row r="174" spans="2:8" x14ac:dyDescent="0.45">
      <c r="B174" s="43" t="s">
        <v>693</v>
      </c>
      <c r="C174" s="35" t="s">
        <v>520</v>
      </c>
      <c r="D174" s="33" t="s">
        <v>517</v>
      </c>
      <c r="E174" s="33">
        <v>43</v>
      </c>
      <c r="F174" s="33" t="s">
        <v>348</v>
      </c>
      <c r="G174" s="36" t="s">
        <v>349</v>
      </c>
      <c r="H174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T.RNDF</v>
      </c>
    </row>
    <row r="175" spans="2:8" x14ac:dyDescent="0.45">
      <c r="B175" s="43" t="s">
        <v>694</v>
      </c>
      <c r="C175" s="35" t="s">
        <v>520</v>
      </c>
      <c r="D175" s="33" t="s">
        <v>517</v>
      </c>
      <c r="E175" s="33">
        <v>44</v>
      </c>
      <c r="F175" s="33" t="s">
        <v>350</v>
      </c>
      <c r="G175" s="36" t="s">
        <v>351</v>
      </c>
      <c r="H175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T.RNDINT</v>
      </c>
    </row>
    <row r="176" spans="2:8" x14ac:dyDescent="0.45">
      <c r="B176" s="43" t="s">
        <v>695</v>
      </c>
      <c r="C176" s="35" t="s">
        <v>520</v>
      </c>
      <c r="D176" s="33" t="s">
        <v>517</v>
      </c>
      <c r="E176" s="33">
        <v>45</v>
      </c>
      <c r="F176" s="33" t="s">
        <v>352</v>
      </c>
      <c r="G176" s="36" t="s">
        <v>353</v>
      </c>
      <c r="H176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T.EXPCDR</v>
      </c>
    </row>
    <row r="177" spans="2:8" x14ac:dyDescent="0.45">
      <c r="B177" s="43" t="s">
        <v>696</v>
      </c>
      <c r="C177" s="35" t="s">
        <v>520</v>
      </c>
      <c r="D177" s="33" t="s">
        <v>517</v>
      </c>
      <c r="E177" s="33">
        <v>46</v>
      </c>
      <c r="F177" s="33" t="s">
        <v>354</v>
      </c>
      <c r="G177" s="36" t="s">
        <v>355</v>
      </c>
      <c r="H177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T.LL</v>
      </c>
    </row>
    <row r="178" spans="2:8" x14ac:dyDescent="0.45">
      <c r="B178" s="43" t="s">
        <v>697</v>
      </c>
      <c r="C178" s="35" t="s">
        <v>520</v>
      </c>
      <c r="D178" s="33" t="s">
        <v>517</v>
      </c>
      <c r="E178" s="33">
        <v>47</v>
      </c>
      <c r="F178" s="33" t="s">
        <v>356</v>
      </c>
      <c r="G178" s="36" t="s">
        <v>357</v>
      </c>
      <c r="H178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T.UL</v>
      </c>
    </row>
    <row r="179" spans="2:8" x14ac:dyDescent="0.45">
      <c r="B179" s="43" t="s">
        <v>698</v>
      </c>
      <c r="C179" s="35" t="s">
        <v>520</v>
      </c>
      <c r="D179" s="33" t="s">
        <v>517</v>
      </c>
      <c r="E179" s="33">
        <v>48</v>
      </c>
      <c r="F179" s="33" t="s">
        <v>358</v>
      </c>
      <c r="G179" s="36" t="s">
        <v>359</v>
      </c>
      <c r="H179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T.LL1</v>
      </c>
    </row>
    <row r="180" spans="2:8" x14ac:dyDescent="0.45">
      <c r="B180" s="43" t="s">
        <v>699</v>
      </c>
      <c r="C180" s="35" t="s">
        <v>520</v>
      </c>
      <c r="D180" s="33" t="s">
        <v>517</v>
      </c>
      <c r="E180" s="33">
        <v>49</v>
      </c>
      <c r="F180" s="33" t="s">
        <v>360</v>
      </c>
      <c r="G180" s="36" t="s">
        <v>361</v>
      </c>
      <c r="H180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T.UL1</v>
      </c>
    </row>
    <row r="181" spans="2:8" x14ac:dyDescent="0.45">
      <c r="B181" s="43" t="s">
        <v>700</v>
      </c>
      <c r="C181" s="35" t="s">
        <v>520</v>
      </c>
      <c r="D181" s="33" t="s">
        <v>517</v>
      </c>
      <c r="E181" s="33">
        <v>50</v>
      </c>
      <c r="F181" s="33" t="s">
        <v>362</v>
      </c>
      <c r="G181" s="36" t="s">
        <v>363</v>
      </c>
      <c r="H181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T.LL2</v>
      </c>
    </row>
    <row r="182" spans="2:8" x14ac:dyDescent="0.45">
      <c r="B182" s="43" t="s">
        <v>701</v>
      </c>
      <c r="C182" s="35" t="s">
        <v>520</v>
      </c>
      <c r="D182" s="33" t="s">
        <v>517</v>
      </c>
      <c r="E182" s="33">
        <v>51</v>
      </c>
      <c r="F182" s="33" t="s">
        <v>364</v>
      </c>
      <c r="G182" s="36" t="s">
        <v>365</v>
      </c>
      <c r="H182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T.UL2</v>
      </c>
    </row>
    <row r="183" spans="2:8" x14ac:dyDescent="0.45">
      <c r="B183" s="43" t="s">
        <v>702</v>
      </c>
      <c r="C183" s="35" t="s">
        <v>520</v>
      </c>
      <c r="D183" s="33" t="s">
        <v>517</v>
      </c>
      <c r="E183" s="33">
        <v>52</v>
      </c>
      <c r="F183" s="33" t="s">
        <v>366</v>
      </c>
      <c r="G183" s="36" t="s">
        <v>367</v>
      </c>
      <c r="H183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T.LL3</v>
      </c>
    </row>
    <row r="184" spans="2:8" x14ac:dyDescent="0.45">
      <c r="B184" s="43" t="s">
        <v>703</v>
      </c>
      <c r="C184" s="35" t="s">
        <v>520</v>
      </c>
      <c r="D184" s="33" t="s">
        <v>517</v>
      </c>
      <c r="E184" s="33">
        <v>53</v>
      </c>
      <c r="F184" s="33" t="s">
        <v>368</v>
      </c>
      <c r="G184" s="36" t="s">
        <v>369</v>
      </c>
      <c r="H184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T.UL3</v>
      </c>
    </row>
    <row r="185" spans="2:8" x14ac:dyDescent="0.45">
      <c r="B185" s="43" t="s">
        <v>704</v>
      </c>
      <c r="C185" s="35" t="s">
        <v>520</v>
      </c>
      <c r="D185" s="33" t="s">
        <v>517</v>
      </c>
      <c r="E185" s="33">
        <v>54</v>
      </c>
      <c r="F185" s="33" t="s">
        <v>370</v>
      </c>
      <c r="G185" s="36" t="s">
        <v>371</v>
      </c>
      <c r="H185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T.LL4</v>
      </c>
    </row>
    <row r="186" spans="2:8" x14ac:dyDescent="0.45">
      <c r="B186" s="43" t="s">
        <v>705</v>
      </c>
      <c r="C186" s="35" t="s">
        <v>520</v>
      </c>
      <c r="D186" s="33" t="s">
        <v>517</v>
      </c>
      <c r="E186" s="33">
        <v>55</v>
      </c>
      <c r="F186" s="33" t="s">
        <v>372</v>
      </c>
      <c r="G186" s="36" t="s">
        <v>373</v>
      </c>
      <c r="H186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T.UL4</v>
      </c>
    </row>
    <row r="187" spans="2:8" x14ac:dyDescent="0.45">
      <c r="B187" s="43" t="s">
        <v>706</v>
      </c>
      <c r="C187" s="35" t="s">
        <v>520</v>
      </c>
      <c r="D187" s="33" t="s">
        <v>517</v>
      </c>
      <c r="E187" s="33">
        <v>56</v>
      </c>
      <c r="F187" s="33" t="s">
        <v>374</v>
      </c>
      <c r="G187" s="36" t="s">
        <v>375</v>
      </c>
      <c r="H187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T.BOUNDFL</v>
      </c>
    </row>
    <row r="188" spans="2:8" x14ac:dyDescent="0.45">
      <c r="B188" s="43" t="s">
        <v>707</v>
      </c>
      <c r="C188" s="35" t="s">
        <v>520</v>
      </c>
      <c r="D188" s="33" t="s">
        <v>517</v>
      </c>
      <c r="E188" s="33">
        <v>57</v>
      </c>
      <c r="F188" s="33" t="s">
        <v>376</v>
      </c>
      <c r="G188" s="36" t="s">
        <v>377</v>
      </c>
      <c r="H188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T.BOUNDFU</v>
      </c>
    </row>
    <row r="189" spans="2:8" x14ac:dyDescent="0.45">
      <c r="B189" s="43" t="s">
        <v>708</v>
      </c>
      <c r="C189" s="35" t="s">
        <v>520</v>
      </c>
      <c r="D189" s="33" t="s">
        <v>517</v>
      </c>
      <c r="E189" s="33">
        <v>58</v>
      </c>
      <c r="F189" s="33" t="s">
        <v>378</v>
      </c>
      <c r="G189" s="36" t="s">
        <v>379</v>
      </c>
      <c r="H189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T.DATCHKF</v>
      </c>
    </row>
    <row r="190" spans="2:8" x14ac:dyDescent="0.45">
      <c r="B190" s="43" t="s">
        <v>709</v>
      </c>
      <c r="C190" s="35" t="s">
        <v>520</v>
      </c>
      <c r="D190" s="33" t="s">
        <v>517</v>
      </c>
      <c r="E190" s="33">
        <v>59</v>
      </c>
      <c r="F190" s="33" t="s">
        <v>380</v>
      </c>
      <c r="G190" s="36" t="s">
        <v>381</v>
      </c>
      <c r="H190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T.TSTATTR</v>
      </c>
    </row>
    <row r="191" spans="2:8" x14ac:dyDescent="0.45">
      <c r="B191" s="43" t="s">
        <v>710</v>
      </c>
      <c r="C191" s="35" t="s">
        <v>520</v>
      </c>
      <c r="D191" s="33" t="s">
        <v>517</v>
      </c>
      <c r="E191" s="33">
        <v>60</v>
      </c>
      <c r="F191" s="33" t="s">
        <v>382</v>
      </c>
      <c r="G191" s="36" t="s">
        <v>383</v>
      </c>
      <c r="H191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T.TSTATTRX</v>
      </c>
    </row>
    <row r="192" spans="2:8" x14ac:dyDescent="0.45">
      <c r="B192" s="43" t="s">
        <v>711</v>
      </c>
      <c r="C192" s="35" t="s">
        <v>520</v>
      </c>
      <c r="D192" s="33" t="s">
        <v>517</v>
      </c>
      <c r="E192" s="33">
        <v>61</v>
      </c>
      <c r="F192" s="33" t="s">
        <v>384</v>
      </c>
      <c r="G192" s="36" t="s">
        <v>502</v>
      </c>
      <c r="H192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T.TSTINF01</v>
      </c>
    </row>
    <row r="193" spans="2:8" x14ac:dyDescent="0.45">
      <c r="B193" s="43" t="s">
        <v>712</v>
      </c>
      <c r="C193" s="35" t="s">
        <v>520</v>
      </c>
      <c r="D193" s="33" t="s">
        <v>517</v>
      </c>
      <c r="E193" s="33">
        <v>62</v>
      </c>
      <c r="F193" s="33" t="s">
        <v>385</v>
      </c>
      <c r="G193" s="36" t="s">
        <v>503</v>
      </c>
      <c r="H193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T.TSTINF02</v>
      </c>
    </row>
    <row r="194" spans="2:8" x14ac:dyDescent="0.45">
      <c r="B194" s="43" t="s">
        <v>713</v>
      </c>
      <c r="C194" s="35" t="s">
        <v>520</v>
      </c>
      <c r="D194" s="33" t="s">
        <v>517</v>
      </c>
      <c r="E194" s="33">
        <v>63</v>
      </c>
      <c r="F194" s="33" t="s">
        <v>386</v>
      </c>
      <c r="G194" s="36" t="s">
        <v>504</v>
      </c>
      <c r="H194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T.TSTINF03</v>
      </c>
    </row>
    <row r="195" spans="2:8" x14ac:dyDescent="0.45">
      <c r="B195" s="43" t="s">
        <v>714</v>
      </c>
      <c r="C195" s="35" t="s">
        <v>520</v>
      </c>
      <c r="D195" s="33" t="s">
        <v>517</v>
      </c>
      <c r="E195" s="33">
        <v>64</v>
      </c>
      <c r="F195" s="33" t="s">
        <v>387</v>
      </c>
      <c r="G195" s="36" t="s">
        <v>505</v>
      </c>
      <c r="H195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T.TSTINF04</v>
      </c>
    </row>
    <row r="196" spans="2:8" x14ac:dyDescent="0.45">
      <c r="B196" s="43" t="s">
        <v>715</v>
      </c>
      <c r="C196" s="35" t="s">
        <v>520</v>
      </c>
      <c r="D196" s="33" t="s">
        <v>517</v>
      </c>
      <c r="E196" s="33">
        <v>65</v>
      </c>
      <c r="F196" s="33" t="s">
        <v>388</v>
      </c>
      <c r="G196" s="36" t="s">
        <v>506</v>
      </c>
      <c r="H196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T.TSTINF05</v>
      </c>
    </row>
    <row r="197" spans="2:8" x14ac:dyDescent="0.45">
      <c r="B197" s="43" t="s">
        <v>716</v>
      </c>
      <c r="C197" s="35" t="s">
        <v>520</v>
      </c>
      <c r="D197" s="33" t="s">
        <v>517</v>
      </c>
      <c r="E197" s="33">
        <v>67</v>
      </c>
      <c r="F197" s="33" t="s">
        <v>389</v>
      </c>
      <c r="G197" s="36" t="s">
        <v>507</v>
      </c>
      <c r="H197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T.TSTINF07</v>
      </c>
    </row>
    <row r="198" spans="2:8" x14ac:dyDescent="0.45">
      <c r="B198" s="43" t="s">
        <v>717</v>
      </c>
      <c r="C198" s="35" t="s">
        <v>520</v>
      </c>
      <c r="D198" s="33" t="s">
        <v>517</v>
      </c>
      <c r="E198" s="33">
        <v>72</v>
      </c>
      <c r="F198" s="33" t="s">
        <v>390</v>
      </c>
      <c r="G198" s="36" t="s">
        <v>508</v>
      </c>
      <c r="H198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T.TSTINF12</v>
      </c>
    </row>
    <row r="199" spans="2:8" x14ac:dyDescent="0.45">
      <c r="B199" s="43" t="s">
        <v>718</v>
      </c>
      <c r="C199" s="35" t="s">
        <v>520</v>
      </c>
      <c r="D199" s="33" t="s">
        <v>517</v>
      </c>
      <c r="E199" s="33">
        <v>74</v>
      </c>
      <c r="F199" s="33" t="s">
        <v>391</v>
      </c>
      <c r="G199" s="36" t="s">
        <v>509</v>
      </c>
      <c r="H199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T.TSTINF14</v>
      </c>
    </row>
    <row r="200" spans="2:8" x14ac:dyDescent="0.45">
      <c r="B200" s="43" t="s">
        <v>719</v>
      </c>
      <c r="C200" s="35" t="s">
        <v>520</v>
      </c>
      <c r="D200" s="33" t="s">
        <v>517</v>
      </c>
      <c r="E200" s="33">
        <v>75</v>
      </c>
      <c r="F200" s="33" t="s">
        <v>392</v>
      </c>
      <c r="G200" s="36" t="s">
        <v>510</v>
      </c>
      <c r="H200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T.TSTINF15</v>
      </c>
    </row>
    <row r="201" spans="2:8" x14ac:dyDescent="0.45">
      <c r="B201" s="43" t="s">
        <v>720</v>
      </c>
      <c r="C201" s="35" t="s">
        <v>520</v>
      </c>
      <c r="D201" s="33" t="s">
        <v>517</v>
      </c>
      <c r="E201" s="33">
        <v>76</v>
      </c>
      <c r="F201" s="33" t="s">
        <v>393</v>
      </c>
      <c r="G201" s="36" t="s">
        <v>511</v>
      </c>
      <c r="H201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T.TSTINF16</v>
      </c>
    </row>
    <row r="202" spans="2:8" x14ac:dyDescent="0.45">
      <c r="B202" s="43" t="s">
        <v>721</v>
      </c>
      <c r="C202" s="35" t="s">
        <v>520</v>
      </c>
      <c r="D202" s="33" t="s">
        <v>517</v>
      </c>
      <c r="E202" s="33">
        <v>77</v>
      </c>
      <c r="F202" s="33" t="s">
        <v>394</v>
      </c>
      <c r="G202" s="36" t="s">
        <v>512</v>
      </c>
      <c r="H202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T.TSTINF17</v>
      </c>
    </row>
    <row r="203" spans="2:8" x14ac:dyDescent="0.45">
      <c r="B203" s="43" t="s">
        <v>722</v>
      </c>
      <c r="C203" s="35" t="s">
        <v>520</v>
      </c>
      <c r="D203" s="33" t="s">
        <v>517</v>
      </c>
      <c r="E203" s="33">
        <v>78</v>
      </c>
      <c r="F203" s="33" t="s">
        <v>395</v>
      </c>
      <c r="G203" s="36" t="s">
        <v>513</v>
      </c>
      <c r="H203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T.TSTINF18</v>
      </c>
    </row>
    <row r="204" spans="2:8" x14ac:dyDescent="0.45">
      <c r="B204" s="43" t="s">
        <v>723</v>
      </c>
      <c r="C204" s="35" t="s">
        <v>520</v>
      </c>
      <c r="D204" s="33" t="s">
        <v>517</v>
      </c>
      <c r="E204" s="33">
        <v>79</v>
      </c>
      <c r="F204" s="33" t="s">
        <v>396</v>
      </c>
      <c r="G204" s="36" t="s">
        <v>514</v>
      </c>
      <c r="H204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T.TSTINF19</v>
      </c>
    </row>
    <row r="205" spans="2:8" x14ac:dyDescent="0.45">
      <c r="B205" s="43" t="s">
        <v>724</v>
      </c>
      <c r="C205" s="35" t="s">
        <v>520</v>
      </c>
      <c r="D205" s="33" t="s">
        <v>517</v>
      </c>
      <c r="E205" s="33">
        <v>80</v>
      </c>
      <c r="F205" s="33" t="s">
        <v>397</v>
      </c>
      <c r="G205" s="36" t="s">
        <v>515</v>
      </c>
      <c r="H205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T.TSTINF20</v>
      </c>
    </row>
    <row r="206" spans="2:8" x14ac:dyDescent="0.45">
      <c r="B206" s="43" t="s">
        <v>725</v>
      </c>
      <c r="C206" s="35" t="s">
        <v>520</v>
      </c>
      <c r="D206" s="33" t="s">
        <v>517</v>
      </c>
      <c r="E206" s="33">
        <v>81</v>
      </c>
      <c r="F206" s="33" t="s">
        <v>398</v>
      </c>
      <c r="G206" s="36" t="s">
        <v>399</v>
      </c>
      <c r="H206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T.TSTINFX01</v>
      </c>
    </row>
    <row r="207" spans="2:8" x14ac:dyDescent="0.45">
      <c r="B207" s="43" t="s">
        <v>726</v>
      </c>
      <c r="C207" s="35" t="s">
        <v>520</v>
      </c>
      <c r="D207" s="33" t="s">
        <v>517</v>
      </c>
      <c r="E207" s="33">
        <v>82</v>
      </c>
      <c r="F207" s="33" t="s">
        <v>400</v>
      </c>
      <c r="G207" s="36" t="s">
        <v>401</v>
      </c>
      <c r="H207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T.TSTINFX02</v>
      </c>
    </row>
    <row r="208" spans="2:8" x14ac:dyDescent="0.45">
      <c r="B208" s="43" t="s">
        <v>727</v>
      </c>
      <c r="C208" s="35" t="s">
        <v>520</v>
      </c>
      <c r="D208" s="33" t="s">
        <v>517</v>
      </c>
      <c r="E208" s="33">
        <v>83</v>
      </c>
      <c r="F208" s="33" t="s">
        <v>402</v>
      </c>
      <c r="G208" s="36" t="s">
        <v>403</v>
      </c>
      <c r="H208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T.TSTINFX03</v>
      </c>
    </row>
    <row r="209" spans="2:8" x14ac:dyDescent="0.45">
      <c r="B209" s="43" t="s">
        <v>728</v>
      </c>
      <c r="C209" s="35" t="s">
        <v>520</v>
      </c>
      <c r="D209" s="33" t="s">
        <v>517</v>
      </c>
      <c r="E209" s="33">
        <v>84</v>
      </c>
      <c r="F209" s="33" t="s">
        <v>404</v>
      </c>
      <c r="G209" s="36" t="s">
        <v>405</v>
      </c>
      <c r="H209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T.TSTINFX04</v>
      </c>
    </row>
    <row r="210" spans="2:8" x14ac:dyDescent="0.45">
      <c r="B210" s="43" t="s">
        <v>729</v>
      </c>
      <c r="C210" s="35" t="s">
        <v>520</v>
      </c>
      <c r="D210" s="33" t="s">
        <v>517</v>
      </c>
      <c r="E210" s="33">
        <v>85</v>
      </c>
      <c r="F210" s="33" t="s">
        <v>406</v>
      </c>
      <c r="G210" s="36" t="s">
        <v>407</v>
      </c>
      <c r="H210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T.TSTINFX05</v>
      </c>
    </row>
    <row r="211" spans="2:8" x14ac:dyDescent="0.45">
      <c r="B211" s="43" t="s">
        <v>730</v>
      </c>
      <c r="C211" s="35" t="s">
        <v>520</v>
      </c>
      <c r="D211" s="33" t="s">
        <v>517</v>
      </c>
      <c r="E211" s="33">
        <v>86</v>
      </c>
      <c r="F211" s="33" t="s">
        <v>408</v>
      </c>
      <c r="G211" s="36" t="s">
        <v>409</v>
      </c>
      <c r="H211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T.TSTINFX06</v>
      </c>
    </row>
    <row r="212" spans="2:8" x14ac:dyDescent="0.45">
      <c r="B212" s="43" t="s">
        <v>731</v>
      </c>
      <c r="C212" s="35" t="s">
        <v>520</v>
      </c>
      <c r="D212" s="33" t="s">
        <v>517</v>
      </c>
      <c r="E212" s="33">
        <v>87</v>
      </c>
      <c r="F212" s="33" t="s">
        <v>410</v>
      </c>
      <c r="G212" s="36" t="s">
        <v>411</v>
      </c>
      <c r="H212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T.TSTINFX07</v>
      </c>
    </row>
    <row r="213" spans="2:8" x14ac:dyDescent="0.45">
      <c r="B213" s="43" t="s">
        <v>732</v>
      </c>
      <c r="C213" s="35" t="s">
        <v>520</v>
      </c>
      <c r="D213" s="33" t="s">
        <v>517</v>
      </c>
      <c r="E213" s="33">
        <v>88</v>
      </c>
      <c r="F213" s="33" t="s">
        <v>412</v>
      </c>
      <c r="G213" s="36" t="s">
        <v>413</v>
      </c>
      <c r="H213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T.TSTINFX08</v>
      </c>
    </row>
    <row r="214" spans="2:8" x14ac:dyDescent="0.45">
      <c r="B214" s="43" t="s">
        <v>733</v>
      </c>
      <c r="C214" s="35" t="s">
        <v>520</v>
      </c>
      <c r="D214" s="33" t="s">
        <v>517</v>
      </c>
      <c r="E214" s="33">
        <v>89</v>
      </c>
      <c r="F214" s="33" t="s">
        <v>414</v>
      </c>
      <c r="G214" s="36" t="s">
        <v>415</v>
      </c>
      <c r="H214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T.TSTINFX09</v>
      </c>
    </row>
    <row r="215" spans="2:8" x14ac:dyDescent="0.45">
      <c r="B215" s="43" t="s">
        <v>734</v>
      </c>
      <c r="C215" s="35" t="s">
        <v>520</v>
      </c>
      <c r="D215" s="33" t="s">
        <v>517</v>
      </c>
      <c r="E215" s="33">
        <v>90</v>
      </c>
      <c r="F215" s="33" t="s">
        <v>416</v>
      </c>
      <c r="G215" s="36" t="s">
        <v>417</v>
      </c>
      <c r="H215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T.SDATL</v>
      </c>
    </row>
    <row r="216" spans="2:8" x14ac:dyDescent="0.45">
      <c r="B216" s="43" t="s">
        <v>735</v>
      </c>
      <c r="C216" s="35" t="s">
        <v>520</v>
      </c>
      <c r="D216" s="33" t="s">
        <v>517</v>
      </c>
      <c r="E216" s="33">
        <v>91</v>
      </c>
      <c r="F216" s="33" t="s">
        <v>418</v>
      </c>
      <c r="G216" s="36" t="s">
        <v>419</v>
      </c>
      <c r="H216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T.SDATU</v>
      </c>
    </row>
    <row r="217" spans="2:8" x14ac:dyDescent="0.45">
      <c r="B217" s="43" t="s">
        <v>736</v>
      </c>
      <c r="C217" s="35" t="s">
        <v>520</v>
      </c>
      <c r="D217" s="33" t="s">
        <v>517</v>
      </c>
      <c r="E217" s="33">
        <v>92</v>
      </c>
      <c r="F217" s="33" t="s">
        <v>420</v>
      </c>
      <c r="G217" s="36" t="s">
        <v>421</v>
      </c>
      <c r="H217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T.SPCINF01</v>
      </c>
    </row>
    <row r="218" spans="2:8" x14ac:dyDescent="0.45">
      <c r="B218" s="43" t="s">
        <v>737</v>
      </c>
      <c r="C218" s="35" t="s">
        <v>520</v>
      </c>
      <c r="D218" s="33" t="s">
        <v>517</v>
      </c>
      <c r="E218" s="33">
        <v>93</v>
      </c>
      <c r="F218" s="33" t="s">
        <v>422</v>
      </c>
      <c r="G218" s="36" t="s">
        <v>423</v>
      </c>
      <c r="H218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T.SPCINF02</v>
      </c>
    </row>
    <row r="219" spans="2:8" x14ac:dyDescent="0.45">
      <c r="B219" s="43" t="s">
        <v>738</v>
      </c>
      <c r="C219" s="35" t="s">
        <v>520</v>
      </c>
      <c r="D219" s="33" t="s">
        <v>517</v>
      </c>
      <c r="E219" s="33">
        <v>94</v>
      </c>
      <c r="F219" s="33" t="s">
        <v>424</v>
      </c>
      <c r="G219" s="36" t="s">
        <v>425</v>
      </c>
      <c r="H219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T.SPCINF03</v>
      </c>
    </row>
    <row r="220" spans="2:8" x14ac:dyDescent="0.45">
      <c r="B220" s="43" t="s">
        <v>739</v>
      </c>
      <c r="C220" s="35" t="s">
        <v>520</v>
      </c>
      <c r="D220" s="33" t="s">
        <v>517</v>
      </c>
      <c r="E220" s="33">
        <v>95</v>
      </c>
      <c r="F220" s="33" t="s">
        <v>426</v>
      </c>
      <c r="G220" s="36" t="s">
        <v>427</v>
      </c>
      <c r="H220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T.SPCINF04</v>
      </c>
    </row>
    <row r="221" spans="2:8" x14ac:dyDescent="0.45">
      <c r="B221" s="43" t="s">
        <v>740</v>
      </c>
      <c r="C221" s="35" t="s">
        <v>520</v>
      </c>
      <c r="D221" s="33" t="s">
        <v>517</v>
      </c>
      <c r="E221" s="33">
        <v>96</v>
      </c>
      <c r="F221" s="33" t="s">
        <v>428</v>
      </c>
      <c r="G221" s="36" t="s">
        <v>429</v>
      </c>
      <c r="H221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T.SPCINF05</v>
      </c>
    </row>
    <row r="222" spans="2:8" x14ac:dyDescent="0.45">
      <c r="B222" s="43" t="s">
        <v>741</v>
      </c>
      <c r="C222" s="35" t="s">
        <v>520</v>
      </c>
      <c r="D222" s="33" t="s">
        <v>517</v>
      </c>
      <c r="E222" s="33">
        <v>97</v>
      </c>
      <c r="F222" s="33" t="s">
        <v>430</v>
      </c>
      <c r="G222" s="36" t="s">
        <v>431</v>
      </c>
      <c r="H222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T.SPCINF06</v>
      </c>
    </row>
    <row r="223" spans="2:8" x14ac:dyDescent="0.45">
      <c r="B223" s="43" t="s">
        <v>742</v>
      </c>
      <c r="C223" s="35" t="s">
        <v>520</v>
      </c>
      <c r="D223" s="33" t="s">
        <v>517</v>
      </c>
      <c r="E223" s="33">
        <v>100</v>
      </c>
      <c r="F223" s="33" t="s">
        <v>432</v>
      </c>
      <c r="G223" s="36" t="s">
        <v>433</v>
      </c>
      <c r="H223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T.SPCINF09</v>
      </c>
    </row>
    <row r="224" spans="2:8" x14ac:dyDescent="0.45">
      <c r="B224" s="43" t="s">
        <v>743</v>
      </c>
      <c r="C224" s="35" t="s">
        <v>520</v>
      </c>
      <c r="D224" s="33" t="s">
        <v>517</v>
      </c>
      <c r="E224" s="33">
        <v>101</v>
      </c>
      <c r="F224" s="33" t="s">
        <v>434</v>
      </c>
      <c r="G224" s="36" t="s">
        <v>435</v>
      </c>
      <c r="H224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T.SPCINF10</v>
      </c>
    </row>
    <row r="225" spans="2:8" x14ac:dyDescent="0.45">
      <c r="B225" s="43" t="s">
        <v>744</v>
      </c>
      <c r="C225" s="35" t="s">
        <v>520</v>
      </c>
      <c r="D225" s="33" t="s">
        <v>517</v>
      </c>
      <c r="E225" s="33">
        <v>102</v>
      </c>
      <c r="F225" s="33" t="s">
        <v>227</v>
      </c>
      <c r="G225" s="36" t="s">
        <v>228</v>
      </c>
      <c r="H225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T.USRUPD</v>
      </c>
    </row>
    <row r="226" spans="2:8" x14ac:dyDescent="0.45">
      <c r="B226" s="43" t="s">
        <v>745</v>
      </c>
      <c r="C226" s="35" t="s">
        <v>520</v>
      </c>
      <c r="D226" s="33" t="s">
        <v>517</v>
      </c>
      <c r="E226" s="33">
        <v>103</v>
      </c>
      <c r="F226" s="33" t="s">
        <v>229</v>
      </c>
      <c r="G226" s="36" t="s">
        <v>230</v>
      </c>
      <c r="H226" s="44" t="str">
        <f xml:space="preserve"> " , " &amp; フィールドリスト[[#This Row],[No.]] &amp; "." &amp; IFERROR(LEFT(フィールドリスト[[#This Row],[カラム名]], FIND(" ", フィールドリスト[[#This Row],[カラム名]]) -1), フィールドリスト[[#This Row],[カラム名]])</f>
        <v xml:space="preserve"> , T.DTUPD</v>
      </c>
    </row>
  </sheetData>
  <phoneticPr fontId="13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tabColor theme="0" tint="-0.499984740745262"/>
  </sheetPr>
  <dimension ref="B2:B3"/>
  <sheetViews>
    <sheetView workbookViewId="0">
      <selection activeCell="G15" sqref="G15"/>
    </sheetView>
  </sheetViews>
  <sheetFormatPr defaultColWidth="3.109375" defaultRowHeight="18.75" x14ac:dyDescent="0.45"/>
  <cols>
    <col min="1" max="16384" width="3.109375" style="18"/>
  </cols>
  <sheetData>
    <row r="2" spans="2:2" x14ac:dyDescent="0.45">
      <c r="B2" s="30" t="s">
        <v>98</v>
      </c>
    </row>
    <row r="3" spans="2:2" x14ac:dyDescent="0.45">
      <c r="B3" s="30" t="s">
        <v>99</v>
      </c>
    </row>
  </sheetData>
  <phoneticPr fontId="13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cd1b0fe3-8f98-42f9-8d39-88000bee556c" xsi:nil="true"/>
    <lcf76f155ced4ddcb4097134ff3c332f xmlns="47863e3c-c649-4eac-a6bb-aea8cf7b4e72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FB877559E5DEEA4E9D1D73DAA6D1EA40" ma:contentTypeVersion="15" ma:contentTypeDescription="新しいドキュメントを作成します。" ma:contentTypeScope="" ma:versionID="53ba8ac3e36ab93fedfe3fd195cf2078">
  <xsd:schema xmlns:xsd="http://www.w3.org/2001/XMLSchema" xmlns:xs="http://www.w3.org/2001/XMLSchema" xmlns:p="http://schemas.microsoft.com/office/2006/metadata/properties" xmlns:ns2="47863e3c-c649-4eac-a6bb-aea8cf7b4e72" xmlns:ns3="cd1b0fe3-8f98-42f9-8d39-88000bee556c" targetNamespace="http://schemas.microsoft.com/office/2006/metadata/properties" ma:root="true" ma:fieldsID="bc5b33c9deb0ef690eeefdb3ab61cfc3" ns2:_="" ns3:_="">
    <xsd:import namespace="47863e3c-c649-4eac-a6bb-aea8cf7b4e72"/>
    <xsd:import namespace="cd1b0fe3-8f98-42f9-8d39-88000bee556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7863e3c-c649-4eac-a6bb-aea8cf7b4e7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画像タグ" ma:readOnly="false" ma:fieldId="{5cf76f15-5ced-4ddc-b409-7134ff3c332f}" ma:taxonomyMulti="true" ma:sspId="9d7c4958-dd9d-4d00-8fe6-60fc6b019bf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description="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d1b0fe3-8f98-42f9-8d39-88000bee556c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2315fa11-002e-415c-8910-192a124cae00}" ma:internalName="TaxCatchAll" ma:showField="CatchAllData" ma:web="cd1b0fe3-8f98-42f9-8d39-88000bee556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05BFF94-925D-45A2-A996-9B8E7179E596}">
  <ds:schemaRefs>
    <ds:schemaRef ds:uri="http://schemas.microsoft.com/office/2006/metadata/properties"/>
    <ds:schemaRef ds:uri="http://schemas.microsoft.com/office/infopath/2007/PartnerControls"/>
    <ds:schemaRef ds:uri="cd1b0fe3-8f98-42f9-8d39-88000bee556c"/>
    <ds:schemaRef ds:uri="47863e3c-c649-4eac-a6bb-aea8cf7b4e72"/>
  </ds:schemaRefs>
</ds:datastoreItem>
</file>

<file path=customXml/itemProps2.xml><?xml version="1.0" encoding="utf-8"?>
<ds:datastoreItem xmlns:ds="http://schemas.openxmlformats.org/officeDocument/2006/customXml" ds:itemID="{906B190E-A479-4805-8ED8-2ACD39718FB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7863e3c-c649-4eac-a6bb-aea8cf7b4e72"/>
    <ds:schemaRef ds:uri="cd1b0fe3-8f98-42f9-8d39-88000bee556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D978F3A-DC17-4A06-896E-2DB7D0F4956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19</vt:i4>
      </vt:variant>
    </vt:vector>
  </HeadingPairs>
  <TitlesOfParts>
    <vt:vector size="21" baseType="lpstr">
      <vt:lpstr>検索シート</vt:lpstr>
      <vt:lpstr>データ</vt:lpstr>
      <vt:lpstr>'sql1'!JOB番号</vt:lpstr>
      <vt:lpstr>検索シート!JOB番号</vt:lpstr>
      <vt:lpstr>'sql1'!SQL_V4</vt:lpstr>
      <vt:lpstr>'sql1'!サンプルCD</vt:lpstr>
      <vt:lpstr>検索シート!サンプルCD</vt:lpstr>
      <vt:lpstr>'sql1'!サンプルグループCD</vt:lpstr>
      <vt:lpstr>検索シート!サンプルグループCD</vt:lpstr>
      <vt:lpstr>'sql1'!サンプル採取日FROM</vt:lpstr>
      <vt:lpstr>検索シート!サンプル採取日FROM</vt:lpstr>
      <vt:lpstr>'sql1'!サンプル採取日TO</vt:lpstr>
      <vt:lpstr>検索シート!サンプル採取日TO</vt:lpstr>
      <vt:lpstr>検索シート!プリセット対象エリア</vt:lpstr>
      <vt:lpstr>'sql1'!ホルダCD</vt:lpstr>
      <vt:lpstr>検索シート!ホルダCD</vt:lpstr>
      <vt:lpstr>'sql1'!検索条件</vt:lpstr>
      <vt:lpstr>データ!項目欄</vt:lpstr>
      <vt:lpstr>'sql1'!試験項目CD</vt:lpstr>
      <vt:lpstr>検索シート!試験項目CD</vt:lpstr>
      <vt:lpstr>データ!貼り付け先セル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2026-03-02T10:14:25Z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0x010100FB877559E5DEEA4E9D1D73DAA6D1EA40</vt:lpwstr>
  </property>
  <property fmtid="{D5CDD505-2E9C-101B-9397-08002B2CF9AE}" pid="3" name="MediaServiceImageTags">
    <vt:lpwstr/>
  </property>
</Properties>
</file>